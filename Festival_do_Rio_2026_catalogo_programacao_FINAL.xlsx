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es" sheetId="1" r:id="rId5"/>
    <sheet state="visible" name="Sessões" sheetId="2" r:id="rId6"/>
  </sheets>
  <definedNames/>
  <calcPr/>
</workbook>
</file>

<file path=xl/sharedStrings.xml><?xml version="1.0" encoding="utf-8"?>
<sst xmlns="http://schemas.openxmlformats.org/spreadsheetml/2006/main" count="12686" uniqueCount="4195">
  <si>
    <t>ID</t>
  </si>
  <si>
    <t>Mostra</t>
  </si>
  <si>
    <t>Letterboxd</t>
  </si>
  <si>
    <t>Filme</t>
  </si>
  <si>
    <t>Título no catálogo</t>
  </si>
  <si>
    <t>Fonte</t>
  </si>
  <si>
    <t>País / território (programação)</t>
  </si>
  <si>
    <t>Formato (programação)</t>
  </si>
  <si>
    <t>Duração programada (min)</t>
  </si>
  <si>
    <t>Ano</t>
  </si>
  <si>
    <t>País</t>
  </si>
  <si>
    <t>Gênero (ficha)</t>
  </si>
  <si>
    <t>Selecionado para Festival A?</t>
  </si>
  <si>
    <t>Festival A</t>
  </si>
  <si>
    <t>Mostra / Seção</t>
  </si>
  <si>
    <t>Direção</t>
  </si>
  <si>
    <t>Roteiro</t>
  </si>
  <si>
    <t>Produtora</t>
  </si>
  <si>
    <t>Produção</t>
  </si>
  <si>
    <t>Fotografia</t>
  </si>
  <si>
    <t>Montagem</t>
  </si>
  <si>
    <t>Música</t>
  </si>
  <si>
    <t>Elenco / participações</t>
  </si>
  <si>
    <t>Sinopse</t>
  </si>
  <si>
    <t>Ficha técnica padronizada</t>
  </si>
  <si>
    <t>Nº de sessões</t>
  </si>
  <si>
    <t>Gênero padronizado</t>
  </si>
  <si>
    <t>001</t>
  </si>
  <si>
    <t>Panorama Mundial</t>
  </si>
  <si>
    <t>https://boxd.it/Rw9k</t>
  </si>
  <si>
    <t>A Grande Estreia</t>
  </si>
  <si>
    <t>Debut, The</t>
  </si>
  <si>
    <t>Catálogo</t>
  </si>
  <si>
    <t>Estados Unidos</t>
  </si>
  <si>
    <t>Ficção</t>
  </si>
  <si>
    <t>2026</t>
  </si>
  <si>
    <t>Jesse Eisenberg</t>
  </si>
  <si>
    <t>Topic Studios, Fruit Tree</t>
  </si>
  <si>
    <t>Ali Herting, Dave Mccary, Emma Stone</t>
  </si>
  <si>
    <t>Drew Daniels</t>
  </si>
  <si>
    <t>Robert Nassau</t>
  </si>
  <si>
    <t>Emile Mosseri</t>
  </si>
  <si>
    <t>Julianne Moore, Paul Giamatti, Halle Bailey, Jesse Eisenberg, Cara Buono, Craig Bierko, Eldar Isgandarov, Bernadette Peters</t>
  </si>
  <si>
    <t>Quando Mona Friedman, uma dona de casa tímida e discreta, consegue um pequeno papel em um teatro comunitário, mergulha no método e se torna obcecada em defender a integridade artística de sua participação quase insignificante. Disposta a tudo, ela entra em guerra com o autoritário diretor do espetáculo. Estrelada por Julianne Moore e Paul Giamatti, esta comédia musical satiriza o ego, a ambição e os delírios da criação. Seleção do Festival de Toronto e competição oficial do Festival de San Sebastián 2026.</t>
  </si>
  <si>
    <t>Direção: Jesse Eisenberg | Roteiro: Jesse Eisenberg | Produtora: Topic Studios, Fruit Tree | Produção: Ali Herting, Dave Mccary, Emma Stone | Fotografia: Drew Daniels | Montagem: Robert Nassau | Música: Emile Mosseri | Elenco: Julianne Moore, Paul Giamatti, Halle Bailey, Jesse Eisenberg, Cara Buono, Craig Bierko, Eldar Isgandarov, Bernadette Peters</t>
  </si>
  <si>
    <t>002</t>
  </si>
  <si>
    <t>https://boxd.it/Zo9i</t>
  </si>
  <si>
    <t>A Noiva Difícil</t>
  </si>
  <si>
    <t>Difficult Bride, The</t>
  </si>
  <si>
    <t>França + 4 países</t>
  </si>
  <si>
    <t>França, Portugal, Bangladesh, Noruega, Alemanha</t>
  </si>
  <si>
    <t>Rubaiyat Hossain</t>
  </si>
  <si>
    <t>Les Films de L’après-Midi</t>
  </si>
  <si>
    <t>François D’artemare</t>
  </si>
  <si>
    <t>Leonor Teles</t>
  </si>
  <si>
    <t>Raphaëlle Martin-Hölger</t>
  </si>
  <si>
    <t>Jim Williams</t>
  </si>
  <si>
    <t>Zaineen Chowdhury Karim, Saberi Alam Motaher, Reekita Nondine Shimu, Azmeri Haque, Sunerah Binte Kamal, Shatabdi Wadud, Dameer Khan, Mohammed Bari</t>
  </si>
  <si>
    <t>Em Daca, Zaineen se prepara para o próprio casamento, entre rituais de beleza e expectativas familiares. Mas seu corpo começa a reagir de maneiras inesperadas. Enquanto remédios caseiros, pressões sociais e visões perturbadoras se acumulam, o caminho até o altar se transforma em uma luta física e psicológica contra os papéis impostos às mulheres. Entre o real e o sobrenatural, ela busca a liberdade de existir para além da feminilidade prescrita. Seleção da mostra Orizzonti do Festival de Veneza 2026.</t>
  </si>
  <si>
    <t>Direção: Rubaiyat Hossain | Roteiro: Rubaiyat Hossain | Produtora: Les Films de L’après-Midi | Produção: François D’artemare | Fotografia: Leonor Teles | Montagem: Raphaëlle Martin-Hölger | Música: Jim Williams | Elenco: Zaineen Chowdhury Karim, Saberi Alam Motaher, Reekita Nondine Shimu, Azmeri Haque, Sunerah Binte Kamal, Shatabdi Wadud, Dameer Khan, Mohammed Bari</t>
  </si>
  <si>
    <t>003</t>
  </si>
  <si>
    <t>https://boxd.it/W19e</t>
  </si>
  <si>
    <t>A Terceira Noite</t>
  </si>
  <si>
    <t>Troisième nuit, La</t>
  </si>
  <si>
    <t>França</t>
  </si>
  <si>
    <t>Sim</t>
  </si>
  <si>
    <t>Cannes</t>
  </si>
  <si>
    <t>Cannes Première</t>
  </si>
  <si>
    <t>Daniel Auteuil</t>
  </si>
  <si>
    <t>Daniel Auteuil, Camille Lugan</t>
  </si>
  <si>
    <t>Palatio Films, Les Films Velvet</t>
  </si>
  <si>
    <t>Frédéric Jouve, Adrien Nussembaum, Nelly Auteuil</t>
  </si>
  <si>
    <t>Jean-François Hensgens</t>
  </si>
  <si>
    <t>Valérie Deseine</t>
  </si>
  <si>
    <t>Oliver Goinard</t>
  </si>
  <si>
    <t>Antonie Reinartz, Daniel Auteuil, Luàna Bjarami, Grégory Gadebois, Grégoire Colin, Yannick Choirat, Jean- Paul Muel</t>
  </si>
  <si>
    <t>Em agosto de 1942, na França ocupada, o governo de Vichy organiza a deportação em massa de judeus estrangeiros. Um jovem funcionário público encarregado da triagem e um padre humanitário unem forças secretas para desafiar a burocracia do Estado. Juntos, arriscam tudo em uma missão desesperada para salvar mais de cem crianças judias de um campo perto de Lyon.</t>
  </si>
  <si>
    <t>Direção: Daniel Auteuil | Roteiro: Daniel Auteuil, Camille Lugan | Produtora: Palatio Films, Les Films Velvet | Produção: Frédéric Jouve, Adrien Nussembaum, Nelly Auteuil | Fotografia: Jean-François Hensgens | Montagem: Valérie Deseine | Música: Oliver Goinard | Elenco: Antonie Reinartz, Daniel Auteuil, Luàna Bjarami, Grégory Gadebois, Grégoire Colin, Yannick Choirat, Jean- Paul Muel</t>
  </si>
  <si>
    <t>004</t>
  </si>
  <si>
    <t>https://boxd.it/VBPy</t>
  </si>
  <si>
    <t>Amazomania</t>
  </si>
  <si>
    <t>Complementar / catálogo parcial</t>
  </si>
  <si>
    <t>Suécia + 2 países</t>
  </si>
  <si>
    <t>Documentário</t>
  </si>
  <si>
    <t>Dinamarca, França, Suécia</t>
  </si>
  <si>
    <t>Nathan Grossman</t>
  </si>
  <si>
    <t>B-Reel Films</t>
  </si>
  <si>
    <t>Cecilia Nessen</t>
  </si>
  <si>
    <t>Nathan Grossman, Erling Söderström, Diego Lajst</t>
  </si>
  <si>
    <t>Jordana Berg, Nathan Grossman</t>
  </si>
  <si>
    <t>Nicole Hogstrand, Thora Kidon Jæger</t>
  </si>
  <si>
    <t>Barbara Arisi, Binan Tuku, Comunidade Korubo, Erling Söderström, Malevo, Seatvo, Sydney Possuelo, Takvan, Takvan Vakwë, Xikxuvo</t>
  </si>
  <si>
    <t>Em 1996, um servidor público brasileiro e um jornalista sueco entraram na Amazônia para documentar o primeiro contato com o povo Korubo, até então completamente isolado. Quase três décadas depois, as imagens ressurgem sob uma perspectiva inquietante. Ao refazer sua jornada e voltar ao Brasil após décadas, o jornalista encontra os Korubo exigindo reparação e o direito de contar a própria história. O resultado confronta o olhar colonial, os mal-entendidos culturais, o empoderamento dos povos indígenas e a própria ética do documentário. Prêmio FIPRESCI no CPH:DOX 2026.</t>
  </si>
  <si>
    <t>Direção: Nathan Grossman | Produtora: B-Reel Films | Produção: Cecilia Nessen | Fotografia: Nathan Grossman, Erling Söderström, Diego Lajst | Montagem: Jordana Berg, Nathan Grossman | Música: Nicole Hogstrand, Thora Kidon Jæger | Elenco: Barbara Arisi, Binan Tuku, Comunidade Korubo, Erling Söderström, Malevo, Seatvo, Sydney Possuelo, Takvan, Takvan Vakwë, Xikxuvo</t>
  </si>
  <si>
    <t>005</t>
  </si>
  <si>
    <t>https://boxd.it/MK5w</t>
  </si>
  <si>
    <t>As Crianças Estão Bem</t>
  </si>
  <si>
    <t>Enfants Vont Bien, Les</t>
  </si>
  <si>
    <t>2025</t>
  </si>
  <si>
    <t>Nathan Ambrosioni</t>
  </si>
  <si>
    <t>Chi-Fou-Mi Productions</t>
  </si>
  <si>
    <t>Nicolas Dumont, Hugo Selignac</t>
  </si>
  <si>
    <t>Victor Seguin - Afc</t>
  </si>
  <si>
    <t>Nathan Ambrosioni, Alexandre Hecker, Laure-Anne Darras, Olivier Guillaume</t>
  </si>
  <si>
    <t>Alexandre de la Baume</t>
  </si>
  <si>
    <t>Camille Cottin, Monia Chokri, Juliette Armanet, Manoã Varvat, Nina Birman, Guillaume Gouix, Myriem Akheddiou, Franckie Wallach, Tania Dessources, Camille Lethuillier, Maxime Tshibangu, Féodor Atkine</t>
  </si>
  <si>
    <t>Numa noite de verão, Suzanne visita a irmã Jeanne e deixa com ela os dois filhos pequenos. Na manhã seguinte, Suzanne desaparece sem deixar rastros, exceto por uma carta pedindo que não a procurem. Jeanne vê-se subitamente forçada a assumir o papel de mãe biológica e a cuidar dos sobrinhos diante de um abandono voluntário. Enquanto a família tenta digerir o trauma e a ausência enigmática da mãe, o drama foca na perda da inocência e na resiliência das crianças. Em competição no Festival de Cannes 2026.</t>
  </si>
  <si>
    <t>Direção: Nathan Ambrosioni | Roteiro: Nathan Ambrosioni | Produtora: Chi-Fou-Mi Productions | Produção: Nicolas Dumont, Hugo Selignac | Fotografia: Victor Seguin - Afc | Montagem: Nathan Ambrosioni, Alexandre Hecker, Laure-Anne Darras, Olivier Guillaume | Música: Alexandre de la Baume | Elenco: Camille Cottin, Monia Chokri, Juliette Armanet, Manoã Varvat, Nina Birman, Guillaume Gouix, Myriem Akheddiou, Franckie Wallach, Tania Dessources, Camille Lethuillier, Maxime Tshibangu, Féodor Atkine</t>
  </si>
  <si>
    <t>006</t>
  </si>
  <si>
    <t>https://boxd.it/ST8Q</t>
  </si>
  <si>
    <t>Bucking Fastard</t>
  </si>
  <si>
    <t>Veneza</t>
  </si>
  <si>
    <t>Venezia 83 – Competição</t>
  </si>
  <si>
    <t>Werner Herzog</t>
  </si>
  <si>
    <t>Gateway To Orkney, Providence Road Entertainment</t>
  </si>
  <si>
    <t>Clara Wu Tsai, Werner Herzog, Ariel Leon Isacovitch</t>
  </si>
  <si>
    <t>Peter Zeitlinger</t>
  </si>
  <si>
    <t>Marco Capalbo</t>
  </si>
  <si>
    <t>Ernst Reijseger</t>
  </si>
  <si>
    <t>Kate Mara, Rooney Mara, Orlando Bloom, Domhnall Gleeson</t>
  </si>
  <si>
    <t>Jean e Joan Holbrooke são irmãs tão inseparáveis que falam em uníssono, compartilham os mesmos sonhos e amam o mesmo homem. Em busca de uma terra imaginária onde o amor verdadeiro seja possível, decidem escavar um túnel através de uma cadeia de montanhas. Livremente inspirado nas gêmeas britânicas Freda e Greta Chaplin, Werner Herzog transforma sua obstinação numa fábula sobre amor, marginalidade e sonhos impossíveis. Com Kate e Rooney Mara. Selecionado para a competição do Festival de Veneza de 2026.</t>
  </si>
  <si>
    <t>Direção: Werner Herzog | Roteiro: Werner Herzog | Produtora: Gateway To Orkney, Providence Road Entertainment | Produção: Clara Wu Tsai, Werner Herzog, Ariel Leon Isacovitch | Fotografia: Peter Zeitlinger | Montagem: Marco Capalbo | Música: Ernst Reijseger | Elenco: Kate Mara, Rooney Mara, Orlando Bloom, Domhnall Gleeson</t>
  </si>
  <si>
    <t>007</t>
  </si>
  <si>
    <t>https://boxd.it/Odiw</t>
  </si>
  <si>
    <t>Cartas Amarelas</t>
  </si>
  <si>
    <t>Gelbe Briefe</t>
  </si>
  <si>
    <t>Alemanha + 2 países</t>
  </si>
  <si>
    <t>França, Alemanha, Turquia</t>
  </si>
  <si>
    <t>Berlinale</t>
  </si>
  <si>
    <t>Competição Oficial</t>
  </si>
  <si>
    <t>Ilker Çatak</t>
  </si>
  <si>
    <t>Ayda Meryem Çatak, Enis Köstepen</t>
  </si>
  <si>
    <t>Liman Film, If... Productions, Haut Et Court</t>
  </si>
  <si>
    <t>Ingo Fliess</t>
  </si>
  <si>
    <t>Judith Kaufmann</t>
  </si>
  <si>
    <t>Gesa Jäger</t>
  </si>
  <si>
    <t>Marvin Miller</t>
  </si>
  <si>
    <t>Yusuf Akgün, Aydin Işik, Aziz Çapkurt, Elit İşcan, Emine Meyrem, Emre Bakar, Ipek Seyalioglu, Jale Arikan, Leyla Smyrna Cabas, Seda Türkmen, Sultan Ulutaş, Tansu Biçer, Uygar Tamer, Yusuf Özhan Tali, Özgü Namal, İpek Bilgin</t>
  </si>
  <si>
    <t>Em Ancara, Derya e Aziz formam um respeitado casal de artistas: ela é atriz, ele é dramaturgo e professor. Durante a estreia de uma nova peça, um gesto de desobediência os coloca sob investigação do Estado. Em poucos dias, perdem o trabalho e a casa e precisam se mudar com a filha adolescente para Istambul. À medida que o dinheiro escasseia e a pressão autoritária invade a vida doméstica, suas convicções, o casamento e o futuro da família são postos à prova. Urso de Ouro no Festival de Berlim 2026.</t>
  </si>
  <si>
    <t>Direção: Ilker Çatak | Roteiro: Ayda Meryem Çatak, Enis Köstepen | Produtora: Liman Film, If... Productions, Haut Et Court | Produção: Ingo Fliess | Fotografia: Judith Kaufmann | Montagem: Gesa Jäger | Música: Marvin Miller | Elenco: Yusuf Akgün, Aydin Işik, Aziz Çapkurt, Elit İşcan, Emine Meyrem, Emre Bakar, Ipek Seyalioglu, Jale Arikan, Leyla Smyrna Cabas, Seda Türkmen, Sultan Ulutaş, Tansu Biçer, Uygar Tamer, Yusuf Özhan Tali, Özgü Namal, İpek Bilgin</t>
  </si>
  <si>
    <t>008</t>
  </si>
  <si>
    <t>https://boxd.it/xG0M</t>
  </si>
  <si>
    <t>Cavalo Selvagem Nove</t>
  </si>
  <si>
    <t>Wild Horse Nine</t>
  </si>
  <si>
    <t>Reino Unido + 1 país</t>
  </si>
  <si>
    <t>Estados Unidos, Reino Unido</t>
  </si>
  <si>
    <t>Martin Mcdonagh</t>
  </si>
  <si>
    <t>Searchlight Pictures, Blueprint Pictures, Film4</t>
  </si>
  <si>
    <t>Graham Broadbent, Pete Czernin, Martin Mcdonagh, Anita Overland</t>
  </si>
  <si>
    <t>Ben Davis, Bsc</t>
  </si>
  <si>
    <t>Mikkel e G Nielsen, Ace</t>
  </si>
  <si>
    <t>Carter Burwell</t>
  </si>
  <si>
    <t>John Malkovich, Sam Rockwell, Steve Buscemi, Mariana di Girolamo, Ailín Salas, Tom Waits, Parker Posey</t>
  </si>
  <si>
    <t>Pouco antes do golpe de Estado no Chile em 1973, dois agentes da CIA são enviados de Santiago para a Ilha de Páscoa em uma missão de teste de confiança. Entre as famosas estátuas que são o marco da ilha, conhecidas como muais, eles enfrentam passados sombrios e conspirações, enquanto o envolvimento de um dos agentes com estudantes rebeldes ameaça arruinar a viagem. Uma afiada combinação de thriller político, drama existencial e comédia sombria.</t>
  </si>
  <si>
    <t>Direção: Martin Mcdonagh | Roteiro: Martin Mcdonagh | Produtora: Searchlight Pictures, Blueprint Pictures, Film4 | Produção: Graham Broadbent, Pete Czernin, Martin Mcdonagh, Anita Overland | Fotografia: Ben Davis, Bsc | Montagem: Mikkel e G Nielsen, Ace | Música: Carter Burwell | Elenco: John Malkovich, Sam Rockwell, Steve Buscemi, Mariana di Girolamo, Ailín Salas, Tom Waits, Parker Posey</t>
  </si>
  <si>
    <t>009</t>
  </si>
  <si>
    <t>https://boxd.it/15fbc</t>
  </si>
  <si>
    <t>Cidadão Osama</t>
  </si>
  <si>
    <t>Al mowaten Osama</t>
  </si>
  <si>
    <t>Palestina + 2 países</t>
  </si>
  <si>
    <t>Palestina, França, Catar</t>
  </si>
  <si>
    <t>Ahmed Hassouna</t>
  </si>
  <si>
    <t>Filcam Media For Media Production, Masharawi Fund For Films &amp; Filmmakers, Coorigines Production</t>
  </si>
  <si>
    <t>Laura Nikolov, Rashid Masharawi, Ahmed Hassouna</t>
  </si>
  <si>
    <t>DENIS LE PAVEN Edição de Som e Mixagem /Sound Editing and Mixing: HATEM SALMI</t>
  </si>
  <si>
    <t>Rasmus Steen, Sarah Fasseur-Leroux</t>
  </si>
  <si>
    <t>Osama Al-Ashi</t>
  </si>
  <si>
    <t>No norte da Faixa de Gaza sob cerco, Osama, ex-fotógrafo artístico que se tornou documentarista de guerra, tenta proteger a esposa e o filho recém-nascido enquanto registra a devastação ao seu redor. Entre bombardeios, fome e perdas, divide-se entre o dever de testemunhar e as urgências da paternidade. Filmado em meio à guerra, o documentário acompanha um homem que mostra a tragédia ao mundo enquanto também a vive. Estreia mundial no Venice Open do Festival de Veneza de 2026.</t>
  </si>
  <si>
    <t>Direção: Ahmed Hassouna | Produtora: Filcam Media For Media Production, Masharawi Fund For Films &amp; Filmmakers, Coorigines Production | Produção: Laura Nikolov, Rashid Masharawi, Ahmed Hassouna | Fotografia: Ahmed Hassouna | Montagem: DENIS LE PAVEN Edição de Som e Mixagem /Sound Editing and Mixing: HATEM SALMI | Música: Rasmus Steen, Sarah Fasseur-Leroux | Elenco: Osama Al-Ashi</t>
  </si>
  <si>
    <t>010</t>
  </si>
  <si>
    <t>https://boxd.it/HOdk</t>
  </si>
  <si>
    <t>Contos Paralelos</t>
  </si>
  <si>
    <t>Histoires parallèles</t>
  </si>
  <si>
    <t>Asghar Farhadi</t>
  </si>
  <si>
    <t>Asghar Farhadi, Saeed Farhadi, Krzysztof Kieslowski</t>
  </si>
  <si>
    <t>Anonymous Content, Memento Production</t>
  </si>
  <si>
    <t>Alexandre Mallet-Guy, Asghar Farhadi, David Levine</t>
  </si>
  <si>
    <t>Guillaume Deffontaines</t>
  </si>
  <si>
    <t>Hayedeh Safiyari</t>
  </si>
  <si>
    <t>Zbigniew Preisner</t>
  </si>
  <si>
    <t>Isabelle Huppert, Virginie Efira, Vincent Cassel, Adam Bessa, Pierre Niney, India Hair, Catherine Deneuve</t>
  </si>
  <si>
    <t>Em busca de inspiração para o seu novo romance, Sylvie, uma famosa escritora reclusa em Paris, passa os dias a espionar a vida dos vizinhos do prédio da frente com uma luneta. Decidida a movimentar a rotina, ela contrata o enigmático jovem Adam como seu assistente de escrita. Ela só não imaginava que a presença dele viraria o seu mundo e o seu trabalho de cabeça para baixo, até chegar ao ponto em que a ficção imaginada por ela passa a superar a própria realidade de todos. O filme foi exibido na mostra competitiva do Festival de Cannes 2026.</t>
  </si>
  <si>
    <t>Direção: Asghar Farhadi | Roteiro: Asghar Farhadi, Saeed Farhadi, Krzysztof Kieslowski | Produtora: Anonymous Content, Memento Production | Produção: Alexandre Mallet-Guy, Asghar Farhadi, David Levine | Fotografia: Guillaume Deffontaines | Montagem: Hayedeh Safiyari | Música: Zbigniew Preisner | Elenco: Isabelle Huppert, Virginie Efira, Vincent Cassel, Adam Bessa, Pierre Niney, India Hair, Catherine Deneuve</t>
  </si>
  <si>
    <t>011</t>
  </si>
  <si>
    <t>https://boxd.it/15fds</t>
  </si>
  <si>
    <t>Conversa com o Mar</t>
  </si>
  <si>
    <t>Hiwar ma’ albahr</t>
  </si>
  <si>
    <t>Catar + 1 país</t>
  </si>
  <si>
    <t>Catar, Palestina</t>
  </si>
  <si>
    <t>Muayad Alayan</t>
  </si>
  <si>
    <t>Rami Alayan</t>
  </si>
  <si>
    <t>Palcine Productions</t>
  </si>
  <si>
    <t>Muayad Alayan, Rami Alayan</t>
  </si>
  <si>
    <t>Lorenzo Casadio Vannucci</t>
  </si>
  <si>
    <t>Matteo Faccenda</t>
  </si>
  <si>
    <t>Fabienne van Eck</t>
  </si>
  <si>
    <t>Kamel El Basha, Amer Hlehel , Bahira Ablassi, Maria Zreik, Ebla Mari, Rebecca Esmeralda Telhami</t>
  </si>
  <si>
    <t>Em Jerusalém, Kamal, um palestino de 60 anos, recebe uma ordem judicial israelense para pagar uma dívida previdenciária em nome do filho Wael, que teria morrido afogado no Mar Vermelho duas décadas antes. Quando descobre que não há registro oficial de sua morte, Kamal parte em busca da verdade sobre o destino do filho, confrontando uma ferida do passado que jamais cicatrizou.</t>
  </si>
  <si>
    <t>Direção: Muayad Alayan | Roteiro: Rami Alayan | Produtora: Palcine Productions | Produção: Muayad Alayan, Rami Alayan | Fotografia: Lorenzo Casadio Vannucci | Montagem: Matteo Faccenda | Música: Fabienne van Eck | Elenco: Kamel El Basha, Amer Hlehel , Bahira Ablassi, Maria Zreik, Ebla Mari, Rebecca Esmeralda Telhami</t>
  </si>
  <si>
    <t>012</t>
  </si>
  <si>
    <t>https://boxd.it/TcSy</t>
  </si>
  <si>
    <t>Covarde</t>
  </si>
  <si>
    <t>Coward</t>
  </si>
  <si>
    <t>Bélgica + 2 países</t>
  </si>
  <si>
    <t>Bélgica, França, Países Baixos</t>
  </si>
  <si>
    <t>Lukas Dhont</t>
  </si>
  <si>
    <t>Lucas Dhont, Angelo Tijssens</t>
  </si>
  <si>
    <t>The Reunion, Versus Productions, Lumen, Topkapi Films</t>
  </si>
  <si>
    <t>Michiel Dhont</t>
  </si>
  <si>
    <t>Frank van Den Eeden</t>
  </si>
  <si>
    <t>Alain Dessauvage</t>
  </si>
  <si>
    <t>Valentin Hadjadj</t>
  </si>
  <si>
    <t>Emannuel Macchia, Valentin Campagne, Jef Jacobs, Willen de Schryver, Liam Jacqmin, Mistral Guigot, Jonas Wertz</t>
  </si>
  <si>
    <t>Em 1916, em plena Primeira Guerra Mundial, o jovem soldado belga Pierre é enviado para o brutal fronte de batalha das trincheiras. Para tentar manter a sanidade, ele decide juntar-se a uma trupe de teatro improvisada nos bastidores da linha inimiga. Lá, Pierre conhece Francis, o líder criativo do grupo, e os dois acabam desenvolvendo uma intensa e secreta história de amor. Prêmio de Melhor Ator em Cannes 2026, dividido ex aequo entre os dois protagonistas, Emmanuel Macchia e Valentin Campagne.</t>
  </si>
  <si>
    <t>Direção: Lukas Dhont | Roteiro: Lucas Dhont, Angelo Tijssens | Produtora: The Reunion, Versus Productions, Lumen, Topkapi Films | Produção: Michiel Dhont | Fotografia: Frank van Den Eeden | Montagem: Alain Dessauvage | Música: Valentin Hadjadj | Elenco: Emannuel Macchia, Valentin Campagne, Jef Jacobs, Willen de Schryver, Liam Jacqmin, Mistral Guigot, Jonas Wertz</t>
  </si>
  <si>
    <t>013</t>
  </si>
  <si>
    <t>https://boxd.it/13fZW</t>
  </si>
  <si>
    <t>Crianças Invisíveis</t>
  </si>
  <si>
    <t>Watashi no Shiranai Kodomotachi</t>
  </si>
  <si>
    <t>Japão</t>
  </si>
  <si>
    <t>Miwa Nishikawa</t>
  </si>
  <si>
    <t>K2 Pictures, Aoi Pro.</t>
  </si>
  <si>
    <t>Daiju Koide, Taichi Ito</t>
  </si>
  <si>
    <t>Norimichi Kasamatsu</t>
  </si>
  <si>
    <t>Tomomi Kikuchi</t>
  </si>
  <si>
    <t>Marihiko Hara</t>
  </si>
  <si>
    <t>Ami Koyae, Fumi Nikaido, Yutaka Takenouchi, Kaito Sakurai</t>
  </si>
  <si>
    <t>Nos dias finais da Segunda Guerra em Tóquio, uma órfã de 12 anos, filha de músicos, disfarça-se de menino para sobreviver ao submundo. Enquanto isso, sua antiga professora, tomada pela culpa e pela própria luta pela sobrevivência, refaz seus passos em uma busca desesperada. Um drama histórico tocante sobre as marcas invisíveis do conflito. Baseado em fatos reais, o filme abriu a mostra Platform no Festival de Toronto 2026.</t>
  </si>
  <si>
    <t>Direção: Miwa Nishikawa | Roteiro: Miwa Nishikawa | Produtora: K2 Pictures, Aoi Pro. | Produção: Daiju Koide, Taichi Ito | Fotografia: Norimichi Kasamatsu | Montagem: Tomomi Kikuchi | Música: Marihiko Hara | Elenco: Ami Koyae, Fumi Nikaido, Yutaka Takenouchi, Kaito Sakurai</t>
  </si>
  <si>
    <t>014</t>
  </si>
  <si>
    <t>https://boxd.it/159U6</t>
  </si>
  <si>
    <t>Dau</t>
  </si>
  <si>
    <t>Alemanha, França, Suécia</t>
  </si>
  <si>
    <t>Ilya Khrzhanovsky</t>
  </si>
  <si>
    <t>Ilya Khrzhanovsky, Susanne Marian, Vladimir Sorokin, Ilia Permyakov</t>
  </si>
  <si>
    <t>Phenomen Berlin</t>
  </si>
  <si>
    <t>Ilya Khrzhanovsky, Svetlana Dragayeva, Philippe Bober, Solal Coutard, Susanne Marian, Erik Hemmendorff</t>
  </si>
  <si>
    <t>Jürgen Jürges, Manuel Alberto Claro, Lol Crawley</t>
  </si>
  <si>
    <t>Ilya Permyakov, Rob Myers</t>
  </si>
  <si>
    <t>Teodor Currentzis, Radmila Shchogolieva, Anatoly Vasiliev</t>
  </si>
  <si>
    <t>Na União Soviética, Dau é um físico brilhante movido pelo desejo de compreender as leis do universo. Recrutado para trabalhar em um instituto secreto, vê sua pesquisa colocada a serviço da criação da bomba atômica. Entre a vigilância do Estado, os privilégios da vida no instituto e uma sucessão de relações amorosas, suas convicções cedem aos poucos. Acompanhando quatro décadas de sua vida, o filme observa como escolhas íntimas e concessões cotidianas se entrelaçam à história de um regime. Projeto de uma década e prêmio de melhor Direção no Festival de Veneza de 2026.</t>
  </si>
  <si>
    <t>Direção: Ilya Khrzhanovsky | Roteiro: Ilya Khrzhanovsky, Susanne Marian, Vladimir Sorokin, Ilia Permyakov | Produtora: Phenomen Berlin | Produção: Ilya Khrzhanovsky, Svetlana Dragayeva, Philippe Bober, Solal Coutard, Susanne Marian, Erik Hemmendorff | Fotografia: Jürgen Jürges, Manuel Alberto Claro, Lol Crawley | Montagem: Ilya Permyakov, Rob Myers | Elenco: Teodor Currentzis, Radmila Shchogolieva, Anatoly Vasiliev</t>
  </si>
  <si>
    <t>015</t>
  </si>
  <si>
    <t>https://boxd.it/TCSY</t>
  </si>
  <si>
    <t>Diários de Nagi</t>
  </si>
  <si>
    <t>Nagi daiarî</t>
  </si>
  <si>
    <t>Japão + 3 países</t>
  </si>
  <si>
    <t>Japão, França, Singapura, Filipinas</t>
  </si>
  <si>
    <t>Koji Fukada</t>
  </si>
  <si>
    <t>Survivance, Star Sands</t>
  </si>
  <si>
    <t>Atsuko Ohno, Ryo Nagai, Michiaki Tsunoda</t>
  </si>
  <si>
    <t>Hidetoshi Shinomiya</t>
  </si>
  <si>
    <t>Sylvie Lager</t>
  </si>
  <si>
    <t>Lee Pei-Chin</t>
  </si>
  <si>
    <t>Takako Matsu, Shizuka Ishibashi, Ken’ichi Matsuyama, Waku Kawaguchi, Kiyora Fujiwara, Sawako Fujima, Long Mizuma, Suhkye Shin</t>
  </si>
  <si>
    <t>Na pequena cidade rural de Nagi, Yoriko divide seus dias entre o trabalho no campo e a escultura, enquanto tenta conviver com as marcas de um amor do passado. Sua rotina é interrompida pela chegada de Yuri, sua amiga e ex-cunhada, uma arquiteta que deixa Tóquio após o fim do casamento. Yuri vai posar para uma escultura de Yoriko, e ao longo dos dias, nesse processo, elas se reaproximam e encontram, uma na outra, novas formas de lidar com a perda, a solidão e os caminhos que acabaram por não seguir na vida. Exibido na Competição Oficial do Festival de Cannes 2026.</t>
  </si>
  <si>
    <t>Direção: Koji Fukada | Roteiro: Koji Fukada | Produtora: Survivance, Star Sands | Produção: Atsuko Ohno, Ryo Nagai, Michiaki Tsunoda | Fotografia: Hidetoshi Shinomiya | Montagem: Sylvie Lager | Música: Lee Pei-Chin | Elenco: Takako Matsu, Shizuka Ishibashi, Ken’ichi Matsuyama, Waku Kawaguchi, Kiyora Fujiwara, Sawako Fujima, Long Mizuma, Suhkye Shin</t>
  </si>
  <si>
    <t>016</t>
  </si>
  <si>
    <t>https://boxd.it/Og8k</t>
  </si>
  <si>
    <t>Eu Juro</t>
  </si>
  <si>
    <t>I Swear</t>
  </si>
  <si>
    <t>Reino Unido</t>
  </si>
  <si>
    <t>Kirk Jones</t>
  </si>
  <si>
    <t>Tempo Productions, One Story High</t>
  </si>
  <si>
    <t>Georgia Bayliff, Kirk Jones, Piers Tempest</t>
  </si>
  <si>
    <t>James Blann</t>
  </si>
  <si>
    <t>Sam Sneade</t>
  </si>
  <si>
    <t>Stephen Rennicks</t>
  </si>
  <si>
    <t>Robert Aramayo, Maxine Peake, Peter Mullan, Sanjeev Kohli, Shirley Henderson</t>
  </si>
  <si>
    <t>Escócia, anos 1980. Quando o adolescente John Davidson começa a manifestar tiques e explosões verbais involuntárias, pouco se sabia ainda sobre a síndrome de Tourette. Incompreendido pela família, pela escola e pela comunidade, ele enfrenta preconceito e isolamento. O apoio inesperado de pessoas dispostas a enxergá-lo para além de sua condição o ajuda a transformar a própria experiência em uma luta por reconhecimento. Inspirado em uma história real.</t>
  </si>
  <si>
    <t>Direção: Kirk Jones | Roteiro: Kirk Jones | Produtora: Tempo Productions, One Story High | Produção: Georgia Bayliff, Kirk Jones, Piers Tempest | Fotografia: James Blann | Montagem: Sam Sneade | Música: Stephen Rennicks | Elenco: Robert Aramayo, Maxine Peake, Peter Mullan, Sanjeev Kohli, Shirley Henderson</t>
  </si>
  <si>
    <t>017</t>
  </si>
  <si>
    <t>https://boxd.it/DYn2</t>
  </si>
  <si>
    <t>Euforia</t>
  </si>
  <si>
    <t>Euphoria</t>
  </si>
  <si>
    <t>Alemanha + 3 países</t>
  </si>
  <si>
    <t>Alemanha, Bulgária, Estados Unidos, Ucrânia</t>
  </si>
  <si>
    <t>Julian Rosefeldt</t>
  </si>
  <si>
    <t>Park Avenue Armory New York</t>
  </si>
  <si>
    <t>Christoph Krauss</t>
  </si>
  <si>
    <t>Bobby Good</t>
  </si>
  <si>
    <t>Samy Moussa</t>
  </si>
  <si>
    <t>Giancarlo Esposito, Virginia Newcomb, Jeff Wood, Tim Williams, Eric Hansen, Jeff Burrell, Robert Bronzi, Kate Strong, Ayesha Jordan, Dora Zygouri, Esther Odumade, Tia Murrell, Asa Ali, Luis Rosefeldt, Rocio Rodriguez-Inniss</t>
  </si>
  <si>
    <t>Em uma Nova York distópica à beira do colapso, personagens e animais surreais conduzem uma viagem hipnótica pelo capitalismo e pela ganância humana. Realizado ao longo de seis anos, reunindo dois mil anos de ideias, de Platão e Karl Marx a bell hooks, Snoop Dogg e Cardi B, este filme visualmente arrebatador questiona por que um sistema econômico reconhecidamente destrutivo continua tão sedutor e aparentemente sem alternativa. Com Giancarlo Esposito e a voz de Cate Blanchett.</t>
  </si>
  <si>
    <t>Direção: Julian Rosefeldt | Roteiro: Julian Rosefeldt | Produtora: Park Avenue Armory New York | Produção: Julian Rosefeldt | Fotografia: Christoph Krauss | Montagem: Bobby Good | Música: Samy Moussa | Elenco: Giancarlo Esposito, Virginia Newcomb, Jeff Wood, Tim Williams, Eric Hansen, Jeff Burrell, Robert Bronzi, Kate Strong, Ayesha Jordan, Dora Zygouri, Esther Odumade, Tia Murrell, Asa Ali, Luis Rosefeldt, Rocio Rodriguez-Inniss</t>
  </si>
  <si>
    <t>018</t>
  </si>
  <si>
    <t>https://boxd.it/Nyto</t>
  </si>
  <si>
    <t>Histórias de Família</t>
  </si>
  <si>
    <t>Etwas ganz Besonderes</t>
  </si>
  <si>
    <t>Alemanha</t>
  </si>
  <si>
    <t>Eva Trobisch</t>
  </si>
  <si>
    <t>Trimafilm</t>
  </si>
  <si>
    <t>Trini Götze, David Armati Lechner</t>
  </si>
  <si>
    <t>Adrian Campean</t>
  </si>
  <si>
    <t>Laura Lauzemis</t>
  </si>
  <si>
    <t>Teho Teardo</t>
  </si>
  <si>
    <t>Frida Hornemann, Max Riemelt, Eva Löbau, Rahel Ohm, Peter René Lüdicke, Gina Henkel</t>
  </si>
  <si>
    <t>Lea tem 16 anos, pais recém-divorciados e talento para cantar. Durante a seleção para participar de um reality show musical, a equipe pergunta quem ela é e o que a torna especial. Sem encontrar resposta, a adolescente passa a experimentar diferentes versões de si mesma e se aproxima da tia Kati, que retorna à cidade após anos no exterior. Nas florestas da antiga Alemanha Oriental, enquanto os avós tentam salvar o hotel da família da falência, três gerações confrontam suas histórias, tensões e desejos de partir. Exibido na competição oficial do Festival de Berlim 2026.</t>
  </si>
  <si>
    <t>Direção: Eva Trobisch | Roteiro: Eva Trobisch | Produtora: Trimafilm | Produção: Trini Götze, David Armati Lechner | Fotografia: Adrian Campean | Montagem: Laura Lauzemis | Música: Teho Teardo | Elenco: Frida Hornemann, Max Riemelt, Eva Löbau, Rahel Ohm, Peter René Lüdicke, Gina Henkel</t>
  </si>
  <si>
    <t>019</t>
  </si>
  <si>
    <t>https://boxd.it/Jd66</t>
  </si>
  <si>
    <t>Histórias Noturnas</t>
  </si>
  <si>
    <t>Histoires De La Nuit</t>
  </si>
  <si>
    <t>Léa Mysius</t>
  </si>
  <si>
    <t>Beside Productions, Division, F Comme Film, France 3 Cinéma</t>
  </si>
  <si>
    <t>Marie-Ange Luciani, Jean-Louis Livi</t>
  </si>
  <si>
    <t>Paul Guilhaume</t>
  </si>
  <si>
    <t>Yorgos Lamprinos</t>
  </si>
  <si>
    <t>Florencia di Concilio</t>
  </si>
  <si>
    <t>Hafsia Herzi, Benoît Magimel, Bastien Bouillon, Monica Bellucci, Tawba El Gharchi, Paul Hamy, Alane Delhaye, Servane Ducorps, Tatia Tsuladze, Jean-Paul Daniel, Dario Hardouin Spurio</t>
  </si>
  <si>
    <t>Nora, Thomas e a filha adolescente vivem isolados em uma fazenda no interior, tendo como única vizinha uma pintora italiana. Enquanto organizam uma festa surpresa de aniversário para Nora, a tranquilidade do lugar é quebrada. Três homens misteriosos surgem e invadem a comemoração, trazendo à tona segredos perigosos e bem guardados do passado. Um thriller rural claustrofóbico e tenso sobre uma noite de terror, invasão e revelações familiares violentas.</t>
  </si>
  <si>
    <t>Direção: Léa Mysius | Roteiro: Léa Mysius | Produtora: Beside Productions, Division, F Comme Film, France 3 Cinéma | Produção: Marie-Ange Luciani, Jean-Louis Livi | Fotografia: Paul Guilhaume | Montagem: Yorgos Lamprinos | Música: Florencia di Concilio | Elenco: Hafsia Herzi, Benoît Magimel, Bastien Bouillon, Monica Bellucci, Tawba El Gharchi, Paul Hamy, Alane Delhaye, Servane Ducorps, Tatia Tsuladze, Jean-Paul Daniel, Dario Hardouin Spurio</t>
  </si>
  <si>
    <t>020</t>
  </si>
  <si>
    <t>https://boxd.it/N8by</t>
  </si>
  <si>
    <t>I want your sex</t>
  </si>
  <si>
    <t>want your sex, I</t>
  </si>
  <si>
    <t>Sundance</t>
  </si>
  <si>
    <t>Premieres</t>
  </si>
  <si>
    <t>Gregg Araki</t>
  </si>
  <si>
    <t>Karley Sciortino, Gregg Araki</t>
  </si>
  <si>
    <t>Desperate Pictures, Black Bear Pictures</t>
  </si>
  <si>
    <t>Gregg Araki, Seth Caplan, Teddy Schwarzman, Michael Heimler, Courtney L. Cunniff, , Karley Sciortino</t>
  </si>
  <si>
    <t>Tucker Korte</t>
  </si>
  <si>
    <t>Gregg Araki, Victor de la Parra</t>
  </si>
  <si>
    <t>James Clements</t>
  </si>
  <si>
    <t>Olivia Wilde, Cooper Hoffman, Mason Gooding, Chase Sui Wonders, Johnny Knoxville, Margaret Cho, Roxane Mesquida</t>
  </si>
  <si>
    <t>Quando o jovem Elliot consegue um emprego com Erika Tracy, artista célebre, provocadora e imprevisível, suas fantasias parecem se tornar realidade. Escolhido por ela como objeto de inspiração e parceiro sexual, ele é arrastado para uma relação marcada pelo desejo e por jogos de poder. Mas o que começa como uma aventura libertadora logo conduz Elliot a um universo de obsessão, traição e assassinato. Estreia mundial na seção Premieres do Festival de Sundance de 2026.</t>
  </si>
  <si>
    <t>Direção: Gregg Araki | Roteiro: Karley Sciortino, Gregg Araki | Produtora: Desperate Pictures, Black Bear Pictures | Produção: Gregg Araki, Seth Caplan, Teddy Schwarzman, Michael Heimler, Courtney L. Cunniff, , Karley Sciortino | Fotografia: Tucker Korte | Montagem: Gregg Araki, Victor de la Parra | Música: James Clements | Elenco: Olivia Wilde, Cooper Hoffman, Mason Gooding, Chase Sui Wonders, Johnny Knoxville, Margaret Cho, Roxane Mesquida</t>
  </si>
  <si>
    <t>021</t>
  </si>
  <si>
    <t>https://boxd.it/X3MY</t>
  </si>
  <si>
    <t>Ink</t>
  </si>
  <si>
    <t>Danny Boyle</t>
  </si>
  <si>
    <t>James Graham</t>
  </si>
  <si>
    <t>Studiocanal, Media Res, House Productions</t>
  </si>
  <si>
    <t>Anna Marsh, Ron Halpern, Joe Naftalin, Tessa Ross, Michael Ellenberg</t>
  </si>
  <si>
    <t>Alwin Küchler, Bsc</t>
  </si>
  <si>
    <t>Fin Oates</t>
  </si>
  <si>
    <t>Daniel Pemberton</t>
  </si>
  <si>
    <t>Jack O’connell, Guy Pearce, Claire Foy, Blake Harrison, Patrick Kennedy, Brian Gleeson, Bertie Carvel, Christopher Fulford, Jonathan Hyde</t>
  </si>
  <si>
    <t>Londres, 1969. Rupert Murdoch compra o decadente jornal The Sun e entrega ao editor Larry Lamb uma missão aparentemente impossível: tirar do Daily Mirror o posto de jornal mais vendido do país. À frente de uma equipe disposta a romper convenções, Lamb reinventa a linguagem do jornal para conquistar o público. Em meio a manchetes provocadoras e uma disputa feroz por leitores, nasce um novo modelo de imprensa, cujos efeitos se fariam sentir muito além das bancas. Adaptação da peça de James Graham. Filme de abertura do Festival de Veneza 2026.</t>
  </si>
  <si>
    <t>Direção: Danny Boyle | Roteiro: James Graham | Produtora: Studiocanal, Media Res, House Productions | Produção: Anna Marsh, Ron Halpern, Joe Naftalin, Tessa Ross, Michael Ellenberg | Fotografia: Alwin Küchler, Bsc | Montagem: Fin Oates | Música: Daniel Pemberton | Elenco: Jack O’connell, Guy Pearce, Claire Foy, Blake Harrison, Patrick Kennedy, Brian Gleeson, Bertie Carvel, Christopher Fulford, Jonathan Hyde</t>
  </si>
  <si>
    <t>022</t>
  </si>
  <si>
    <t>https://boxd.it/NzPA</t>
  </si>
  <si>
    <t>Josephine - Fragmentos de um Crime</t>
  </si>
  <si>
    <t>Josephine</t>
  </si>
  <si>
    <t>Sundance; Berlinale</t>
  </si>
  <si>
    <t>U.S. Dramatic Competition; Competição Oficial</t>
  </si>
  <si>
    <t>Beth de Araújo</t>
  </si>
  <si>
    <t>Kaplan Morrison, Yintai Entertainment, Free Association, Spark Features</t>
  </si>
  <si>
    <t>David Kaplan, Josh Peters, Beth de Araújo, Marina Stabile, Channing Tatum, Gemma Chan, Mark H. Rapaport, Josh Beirne-Golden, Crystine Zhang</t>
  </si>
  <si>
    <t>Greta Zozula</t>
  </si>
  <si>
    <t>Anisha Acharya</t>
  </si>
  <si>
    <t>Miles Ross</t>
  </si>
  <si>
    <t>Mason Reeves, Channing Tatum, Gemma Chan, Philip Ettinger, Syra Mccarthy, Nico Leunen, Kyle Reiter</t>
  </si>
  <si>
    <t>Aos oito anos, Josephine testemunha uma violência sexual no Golden Gate Park, em San Francisco. A experiência abala profundamente sua sensação de segurança e a mergulha no medo e na paranoia. Sem conseguir elaborar o trauma, ela passa a reagir com violência, numa tentativa de recuperar o controle. Seus pais procuram ajudá-la, mas também precisam lidar com os próprios temores e divergências. Inspirado em uma experiência da infância da diretora Beth de Araújo. Vencedor do Grande Prêmio do Júri e do Prêmio do Público em Sundance 2026.</t>
  </si>
  <si>
    <t>Direção: Beth de Araújo | Roteiro: Beth de Araújo | Produtora: Kaplan Morrison, Yintai Entertainment, Free Association, Spark Features | Produção: David Kaplan, Josh Peters, Beth de Araújo, Marina Stabile, Channing Tatum, Gemma Chan, Mark H. Rapaport, Josh Beirne-Golden, Crystine Zhang | Fotografia: Greta Zozula | Montagem: Anisha Acharya | Música: Miles Ross | Elenco: Mason Reeves, Channing Tatum, Gemma Chan, Philip Ettinger, Syra Mccarthy, Nico Leunen, Kyle Reiter</t>
  </si>
  <si>
    <t>023</t>
  </si>
  <si>
    <t>https://boxd.it/UEAa</t>
  </si>
  <si>
    <t>Monstro Gentil</t>
  </si>
  <si>
    <t>Gentle Monster</t>
  </si>
  <si>
    <t>Alemanha, França, Áustria</t>
  </si>
  <si>
    <t>Marie Kreutzer</t>
  </si>
  <si>
    <t>Film Ag</t>
  </si>
  <si>
    <t>Alexander Glehr, Johanna Scherz</t>
  </si>
  <si>
    <t>Ulrike Kofler</t>
  </si>
  <si>
    <t>Camille</t>
  </si>
  <si>
    <t>Léa Seydoux, Laurence Rupp, Jella Haase, Malo Blanchet, Anton Rubtsov, Nils Strunk, Catherine Deneuve</t>
  </si>
  <si>
    <t>A pianista Lucy muda-se para o campo com o marido, Philip, e o filho pequeno deles, deixando a carreira em segundo plano para ajudar o parceiro a se recuperar de um esgotamento. Mas uma visita súbita da polícia ao amanhecer de um dia comum revela um segredo devastador e desestrutura a família. Enquanto Lucy busca a verdade e tenta proteger o filho, a agente-investigadora Elsa enfrenta revelações perturbadoras em sua própria vida pessoal. Estreia mundial na competição do Festival de Cannes 2026.</t>
  </si>
  <si>
    <t>Direção: Marie Kreutzer | Roteiro: Marie Kreutzer | Produtora: Film Ag | Produção: Alexander Glehr, Johanna Scherz | Fotografia: Judith Kaufmann | Montagem: Ulrike Kofler | Música: Camille | Elenco: Léa Seydoux, Laurence Rupp, Jella Haase, Malo Blanchet, Anton Rubtsov, Nils Strunk, Catherine Deneuve</t>
  </si>
  <si>
    <t>024</t>
  </si>
  <si>
    <t>https://boxd.it/Lc9s</t>
  </si>
  <si>
    <t>No Good Men</t>
  </si>
  <si>
    <t>Kabul Jan</t>
  </si>
  <si>
    <t>Alemanha + 4 países</t>
  </si>
  <si>
    <t>Alemanha, França, Noruega, Dinamarca, Afeganistão</t>
  </si>
  <si>
    <t>Shahrbanoo Sadat</t>
  </si>
  <si>
    <t>Amerikafilm, Wolf Pictures, Motlys, La Fabrica Nocturna Cinéma, Adomeit Film (Dk), Adomeit Film (D)</t>
  </si>
  <si>
    <t>Katja Adomeit, Shahrbanoo Sadat, Jeep Wowk, Marina Perales Marhuenda, Xavier Rocher, Ingvil Sæther Berger, Balthasar Busmann, Maxi Haslberger</t>
  </si>
  <si>
    <t>Virginie Surdej</t>
  </si>
  <si>
    <t>Alexandra Strauss</t>
  </si>
  <si>
    <t>Harpheet Bansal, Therese Aune, Kristian Eidnes Andersen</t>
  </si>
  <si>
    <t>Shahrbanoo Sadat, Anwar Hashimi, Liam Hussaini, Yasin Negah, Ahmad Azizi, Fatima Hassani, Masihullah Tajzai</t>
  </si>
  <si>
    <t>Afeganistão, 2021, pouco antes do retorno do Talibã ao poder. Naru, a única cinegrafista da principal emissora de TV de Cabul, luta para manter a guarda do filho de três anos. Após deixar o marido infiel, ela se convence de que não existem homens bons no país. Naru é pega de surpresa quando Qodrat, o jornalista mais importante da TV, lhe oferece uma oportunidade de carreira. Ao cobrirem os últimos dias de liberdade da cidade, surge uma faísca entre eles. Exibido na Berlinale Special Gala 2026.</t>
  </si>
  <si>
    <t>Direção: Shahrbanoo Sadat | Roteiro: Shahrbanoo Sadat | Produtora: Amerikafilm, Wolf Pictures, Motlys, La Fabrica Nocturna Cinéma, Adomeit Film (Dk), Adomeit Film (D) | Produção: Katja Adomeit, Shahrbanoo Sadat, Jeep Wowk, Marina Perales Marhuenda, Xavier Rocher, Ingvil Sæther Berger, Balthasar Busmann, Maxi Haslberger | Fotografia: Virginie Surdej | Montagem: Alexandra Strauss | Música: Harpheet Bansal, Therese Aune, Kristian Eidnes Andersen | Elenco: Shahrbanoo Sadat, Anwar Hashimi, Liam Hussaini, Yasin Negah, Ahmad Azizi, Fatima Hassani, Masihullah Tajzai</t>
  </si>
  <si>
    <t>025</t>
  </si>
  <si>
    <t>https://boxd.it/XZ0I</t>
  </si>
  <si>
    <t>Nós Somos os Frutos da Floresta</t>
  </si>
  <si>
    <t>Nous sommes les fruits de la forêt</t>
  </si>
  <si>
    <t>Camboja + 1 país</t>
  </si>
  <si>
    <t>Camboja, França</t>
  </si>
  <si>
    <t>Rithy Panh</t>
  </si>
  <si>
    <t>Catherine Dussart Productions (Cdp)</t>
  </si>
  <si>
    <t>Catherine Dussart, Quentin François</t>
  </si>
  <si>
    <t>Prum Mésar, Mourng Vet, Cheng Socheat, Sok Chan Rado, Rithy Panh</t>
  </si>
  <si>
    <t>Rithy Panh, Eang Pisith</t>
  </si>
  <si>
    <t>Marc Mader</t>
  </si>
  <si>
    <t>Pa Kreb, Mak Kreb, Mak Lisa, Pouk Choeut, Mak Choeut, Yeay Kreb, Pouk Pritch, Mak Pritch, Pouk Vath, Pouk Loun, Lisa Choeut, Noas Pritch Kreb</t>
  </si>
  <si>
    <t>Filmado ao longo de quatro anos o documentário foca em algumas famílias da minoria étnica Bunong, que vive nas montanhas do nordeste do Camboja. Eles sobrevivem graças à terra e a práticas ancestrais, guiando-se pelos ciclos da floresta, que estão sendo severamente afetados por alterações nas estações do ano. Vencedor do Prêmio Especial do Júri no Festival Internacional de Cinema de Tóquio 2025.</t>
  </si>
  <si>
    <t>Direção: Rithy Panh | Roteiro: Rithy Panh | Produtora: Catherine Dussart Productions (Cdp) | Produção: Catherine Dussart, Quentin François | Fotografia: Prum Mésar, Mourng Vet, Cheng Socheat, Sok Chan Rado, Rithy Panh | Montagem: Rithy Panh, Eang Pisith | Música: Marc Mader | Elenco: Pa Kreb, Mak Kreb, Mak Lisa, Pouk Choeut, Mak Choeut, Yeay Kreb, Pouk Pritch, Mak Pritch, Pouk Vath, Pouk Loun, Lisa Choeut, Noas Pritch Kreb</t>
  </si>
  <si>
    <t>026</t>
  </si>
  <si>
    <t>https://boxd.it/V6FC</t>
  </si>
  <si>
    <t>O Cheiro das Maçãs</t>
  </si>
  <si>
    <t>Reuk van Appels, Die</t>
  </si>
  <si>
    <t>África do Sul + 2 países</t>
  </si>
  <si>
    <t>Chile, Países Baixos, África do Sul</t>
  </si>
  <si>
    <t>John Trengove</t>
  </si>
  <si>
    <t>John Trengove, Chris Ciancimino</t>
  </si>
  <si>
    <t>Portobello Productions, Cadence, Baldr Film, Quijote Films</t>
  </si>
  <si>
    <t>Eric Abraham, Jack Sidey, Cait Pansegrouw, Frank Hoeve</t>
  </si>
  <si>
    <t>Lennert Hillege, Nsc</t>
  </si>
  <si>
    <t>Matthew Swanepoel</t>
  </si>
  <si>
    <t>Dawian van Der Westhuizen, Hilton Pelser, Maude Sandham, Celeste Matthews Wan- Nenburgh, Alejandro Goic</t>
  </si>
  <si>
    <t>Na África do Sul de 1974, em pleno apartheid, Marnus, de 11 anos, leva uma vida protegida no universo privilegiado de sua família branca. Durante as férias de verão, uma acusação aparentemente banal desencadeia acontecimentos que abalam a imagem idealizada de seu pai e expõem a violência sob a fachada de normalidade. Adaptado do romance de Mark Behr, o drama acompanha o despertar doloroso de um menino para as contradições do mundo que o formou. Estreia mundial na competição Platform do Festival de Toronto 2026.</t>
  </si>
  <si>
    <t>Direção: John Trengove | Roteiro: John Trengove, Chris Ciancimino | Produtora: Portobello Productions, Cadence, Baldr Film, Quijote Films | Produção: Eric Abraham, Jack Sidey, Cait Pansegrouw, Frank Hoeve | Fotografia: Lennert Hillege, Nsc | Montagem: Matthew Swanepoel | Elenco: Dawian van Der Westhuizen, Hilton Pelser, Maude Sandham, Celeste Matthews Wan- Nenburgh, Alejandro Goic</t>
  </si>
  <si>
    <t>027</t>
  </si>
  <si>
    <t>https://boxd.it/UlXY</t>
  </si>
  <si>
    <t>O Objeto do Delito</t>
  </si>
  <si>
    <t>L’objet du délit</t>
  </si>
  <si>
    <t>França + 1 país</t>
  </si>
  <si>
    <t>Bélgica, França</t>
  </si>
  <si>
    <t>Agnès Jaoui</t>
  </si>
  <si>
    <t>Agnès Jaqui, Emmanuel Salinger, Laurent Jaqui, Noé Debré, Florence Seyvos</t>
  </si>
  <si>
    <t>Les Films du Kiosque</t>
  </si>
  <si>
    <t>François Kraus, Denis Pineau-Valencienne</t>
  </si>
  <si>
    <t>David Chizallet</t>
  </si>
  <si>
    <t>Christel Dewynter</t>
  </si>
  <si>
    <t>Fernando Fiszbein</t>
  </si>
  <si>
    <t>Eye Haidara, Claire Chust, Oussama Kheddam, Lucie Gallo, Tiphaine Daviot, Maxime Pambet, Loie Legendre, Vicenzo Amato</t>
  </si>
  <si>
    <t>Nos bastidores de uma ambiciosa produção da ópera As Bodas de Fígaro, as tensões aumentam quando surge uma acusação de agressão sexual, colocando em risco a produção e forçando todos a tomarem uma posição.</t>
  </si>
  <si>
    <t>Direção: Agnès Jaoui | Roteiro: Agnès Jaqui, Emmanuel Salinger, Laurent Jaqui, Noé Debré, Florence Seyvos | Produtora: Les Films du Kiosque | Produção: François Kraus, Denis Pineau-Valencienne | Fotografia: David Chizallet | Montagem: Christel Dewynter | Música: Fernando Fiszbein | Elenco: Eye Haidara, Claire Chust, Oussama Kheddam, Lucie Gallo, Tiphaine Daviot, Maxime Pambet, Loie Legendre, Vicenzo Amato</t>
  </si>
  <si>
    <t>028</t>
  </si>
  <si>
    <t>https://boxd.it/AWo2</t>
  </si>
  <si>
    <t>O Rebelde</t>
  </si>
  <si>
    <t>Uprising, The</t>
  </si>
  <si>
    <t>Reino Unido + 2 países</t>
  </si>
  <si>
    <t>Alemanha, Reino Unido, Estados Unidos</t>
  </si>
  <si>
    <t>Paul Greengrass</t>
  </si>
  <si>
    <t>Electric Shadow Company, Blumhouse Productions, Atomic Monster, Thank You Pictures, Supernix, Filmnation Entertainment</t>
  </si>
  <si>
    <t>Jason Blum, Gregory Goodman, Paul Greengrass, Joanna Kaye, Joe Neurauter, Lars Sylvest</t>
  </si>
  <si>
    <t>Pål Ulvik Rokseth</t>
  </si>
  <si>
    <t>William Goldenberg</t>
  </si>
  <si>
    <t>Volker Bertelmann</t>
  </si>
  <si>
    <t>Andrew Garfield, Woody Norman, Katherine Waterson, Mark Redhead, Tom Hollander, Stephen Dillane, Stanley Townsend, Dónal Finn</t>
  </si>
  <si>
    <t>Inglaterra, 1381. Após a Peste Negra, a população enfrenta a fome, os impostos abusivos e a violência da Coroa. Devastado por uma perda pessoal, um humilde camponês se une à revolta contra o rei Ricardo II e acaba se tornando um de seus líderes. À frente de um exército popular, ele parte rumo a Londres em uma luta por justiça e sobrevivência que acabaria por inspirar a lenda de Robin Hood.</t>
  </si>
  <si>
    <t>Direção: Paul Greengrass | Roteiro: Paul Greengrass | Produtora: Electric Shadow Company, Blumhouse Productions, Atomic Monster, Thank You Pictures, Supernix, Filmnation Entertainment | Produção: Jason Blum, Gregory Goodman, Paul Greengrass, Joanna Kaye, Joe Neurauter, Lars Sylvest | Fotografia: Pål Ulvik Rokseth | Montagem: William Goldenberg | Música: Volker Bertelmann | Elenco: Andrew Garfield, Woody Norman, Katherine Waterson, Mark Redhead, Tom Hollander, Stephen Dillane, Stanley Townsend, Dónal Finn</t>
  </si>
  <si>
    <t>029</t>
  </si>
  <si>
    <t>https://letterboxd.com/film/the-assassins-2026/</t>
  </si>
  <si>
    <t>O(s) Assassino(s)</t>
  </si>
  <si>
    <t>Assassins, The</t>
  </si>
  <si>
    <t>Coreia do Sul</t>
  </si>
  <si>
    <t>Hur Jin-Ho</t>
  </si>
  <si>
    <t>Gwon Gi-Jun, Lee Ji-Min</t>
  </si>
  <si>
    <t>Hive Media Corp.</t>
  </si>
  <si>
    <t>Kim Won-Kuk</t>
  </si>
  <si>
    <t>Lee Mo-Gae</t>
  </si>
  <si>
    <t>Kim Hana, Kim Woo-Hyun</t>
  </si>
  <si>
    <t>Cho Young-Wuk</t>
  </si>
  <si>
    <t>Yoo Hai-Jin, Park Hae-Il, Lee Min-Ho</t>
  </si>
  <si>
    <t>Coreia do Sul, 15 de agosto de 1974. Durante uma cerimônia transmitida ao vivo, tiros são disparados contra o presidente Park Chung-hee. Ele sobrevive, mas a primeira-dama Yuk Young-soo e uma menina são mortas. Quando duas balas desaparecem dos registros oficiais, um inspetor que testemunhou o atentado, um editor de jornal veterano e um repórter iniciante conduzem investigações paralelas. Entre censura, ameaças e interesses ocultos, os três desafiam uma engrenagem determinada a enterrar a verdade. Estreia mundial no Festival de Toronto 2026.</t>
  </si>
  <si>
    <t>Direção: Hur Jin-Ho | Roteiro: Gwon Gi-Jun, Lee Ji-Min | Produtora: Hive Media Corp. | Produção: Kim Won-Kuk | Fotografia: Lee Mo-Gae | Montagem: Kim Hana, Kim Woo-Hyun | Música: Cho Young-Wuk | Elenco: Yoo Hai-Jin, Park Hae-Il, Lee Min-Ho</t>
  </si>
  <si>
    <t>030</t>
  </si>
  <si>
    <t>https://letterboxd.com/film/the-last-resort-2026/</t>
  </si>
  <si>
    <t>O Último Resort</t>
  </si>
  <si>
    <t>Paradis</t>
  </si>
  <si>
    <t>Dinamarca + 1 país</t>
  </si>
  <si>
    <t>Dinamarca, Noruega</t>
  </si>
  <si>
    <t>Maria Sødahl</t>
  </si>
  <si>
    <t>Maria Sødahl, Therese Hasman, Eske Troelstrup</t>
  </si>
  <si>
    <t>Nordisk Film Production</t>
  </si>
  <si>
    <t>Thomas Robsahm, Sigurd Mikal Karoliussen</t>
  </si>
  <si>
    <t>John-Erling Holmenes Fredriksen</t>
  </si>
  <si>
    <t>Kristofer Nordin</t>
  </si>
  <si>
    <t>Martin Juel Dirkov</t>
  </si>
  <si>
    <t>Danica Curcic, Esben Smed, Aziz Çapkurt, Sif Lucca Gersby, Chili Olivia Jensen, Claes Ljungmark, Per Kjerstad, Marte Engebrigtsen, Petrine Agger, Nanna Finding Koppel</t>
  </si>
  <si>
    <t>Mikkel e Louise viajam com as duas filhas para férias num resort com tudo incluído em Gran Canaria. O descanso termina quando atropelam acidentalmente um homem que, mais tarde, aparece no hotel pedindo ajuda. Convencido de que deve fazer o que é certo, o casal aceita o pedido. Mas, à medida que se envolve, seus valores são postos à prova, e a família precisa confrontar o que significa ser uma boa pessoa — e quanto está disposta a arriscar por alguém em necessidade. Vencedor do Dragon Award de melhor filme nórdico no Festival de Gotemburgo 2026.</t>
  </si>
  <si>
    <t>Direção: Maria Sødahl | Roteiro: Maria Sødahl, Therese Hasman, Eske Troelstrup | Produtora: Nordisk Film Production | Produção: Thomas Robsahm, Sigurd Mikal Karoliussen | Fotografia: John-Erling Holmenes Fredriksen | Montagem: Kristofer Nordin | Música: Martin Juel Dirkov | Elenco: Danica Curcic, Esben Smed, Aziz Çapkurt, Sif Lucca Gersby, Chili Olivia Jensen, Claes Ljungmark, Per Kjerstad, Marte Engebrigtsen, Petrine Agger, Nanna Finding Koppel</t>
  </si>
  <si>
    <t>031</t>
  </si>
  <si>
    <t>https://letterboxd.com/film/eight-bridges/</t>
  </si>
  <si>
    <t>Oito Pontes</t>
  </si>
  <si>
    <t>Eight Bridges</t>
  </si>
  <si>
    <t>James Benning</t>
  </si>
  <si>
    <t>Em oito planos fixos de dez minutos, James Benning contempla pontes dos Estados Unidos, indo da Golden Gate, em São Francisco, à histórica Edmund Pettus, em Selma. No encontro entre terra, água e céu, essas estruturas conectam os mundos construído e natural, conduzindo fluxos de pessoas, capital e história. Sem diálogos, este ensaio visual meditativo transforma a observação paciente em uma reflexão sobre os Estados Unidos, a percepção e o tempo. Estreia mundial no Fórum do Festival de Berlim 2026.</t>
  </si>
  <si>
    <t>Direção: James Benning</t>
  </si>
  <si>
    <t>032</t>
  </si>
  <si>
    <t>https://letterboxd.com/film/growth-of-the-soil-2026/</t>
  </si>
  <si>
    <t>Os Frutos da Terra</t>
  </si>
  <si>
    <t>Markens grøde</t>
  </si>
  <si>
    <t>Noruega</t>
  </si>
  <si>
    <t>Hans Petter Moland</t>
  </si>
  <si>
    <t>Hans Petter Moland, Gard B. Eidsvold</t>
  </si>
  <si>
    <t>Scanbox Entertainment, 4 1/2 Fiction as</t>
  </si>
  <si>
    <t>Håkon Øverås</t>
  </si>
  <si>
    <t>Oskar Dahlsbakken</t>
  </si>
  <si>
    <t>Linda Man</t>
  </si>
  <si>
    <t>Kaspar Kaae</t>
  </si>
  <si>
    <t>Herbert Nordrum, Asta Kamma August, Gard B Eidsvold, Anders Baasmo</t>
  </si>
  <si>
    <t>Umm homem e uma mulher enfrentam a imensidão da natureza, abrindo caminhos nos arredores isolados do norte da Noruega. Guiados pelas necessidades elementares da vida, suas habilidades e resistência são postas à prova à medida que grandes desafios se aproximam. Baseado no romance que deu o Prêmio Nobel de Literatura a Knut Hamsun, este drama retrata com fidelidade a força da terra e os limites da sobrevivência. Exibido no Toronto International Film Festival 2026 na mostra Special Presentations.</t>
  </si>
  <si>
    <t>Direção: Hans Petter Moland | Roteiro: Hans Petter Moland, Gard B. Eidsvold | Produtora: Scanbox Entertainment, 4 1/2 Fiction as | Produção: Håkon Øverås | Fotografia: Oskar Dahlsbakken | Montagem: Linda Man | Música: Kaspar Kaae | Elenco: Herbert Nordrum, Asta Kamma August, Gard B Eidsvold, Anders Baasmo</t>
  </si>
  <si>
    <t>033</t>
  </si>
  <si>
    <t>https://letterboxd.com/film/prima-facie-2026/</t>
  </si>
  <si>
    <t>Prima Facie</t>
  </si>
  <si>
    <t>Austrália + 1 país</t>
  </si>
  <si>
    <t>Austrália, Reino Unido</t>
  </si>
  <si>
    <t>Susanna White</t>
  </si>
  <si>
    <t>Suzie Miller</t>
  </si>
  <si>
    <t>Camelback Productions, Minderoo Pictures, Edith's Daughter, Embankment Films, Bunya Productions</t>
  </si>
  <si>
    <t>Greer Simpkin, Kevin Loader, David Jowsey</t>
  </si>
  <si>
    <t>Mike Eley</t>
  </si>
  <si>
    <t>Justine Wright</t>
  </si>
  <si>
    <t>Isobel Waller-Bridge</t>
  </si>
  <si>
    <t>Cynthia Erivo, Daniel Ings, Noma Dumezweni, Elizabeth Dulau, Toheeb Jimoh, Harry Treadaway, Khalid Abdalla, Elliot Levey, Simon Russell-Beale, Sarah Junillon</t>
  </si>
  <si>
    <t>A indicada ao Oscar Cynthia Erivo (Wicked) estrela esta adaptação da peça de Suzie Miller. A trama examina o que acontece quando uma advogada ambiciosa, que defende principalmente acusados de crimes sexuais, inesperadamente se torna a denunciante em um caso de agressão sexual. Forçada a ir ao banco das testemunhas, ela deve enfrentar o mesmo sistema jurídico em que confiava, confrontando as duras realidades da justiça e do poder pelo outro lado.</t>
  </si>
  <si>
    <t>Direção: Susanna White | Roteiro: Suzie Miller | Produtora: Camelback Productions, Minderoo Pictures, Edith's Daughter, Embankment Films, Bunya Productions | Produção: Greer Simpkin, Kevin Loader, David Jowsey | Fotografia: Mike Eley | Montagem: Justine Wright | Música: Isobel Waller-Bridge | Elenco: Cynthia Erivo, Daniel Ings, Noma Dumezweni, Elizabeth Dulau, Toheeb Jimoh, Harry Treadaway, Khalid Abdalla, Elliot Levey, Simon Russell-Beale, Sarah Junillon</t>
  </si>
  <si>
    <t>034</t>
  </si>
  <si>
    <t>https://letterboxd.com/film/four-minus-three/</t>
  </si>
  <si>
    <t>Quatro Menos Três</t>
  </si>
  <si>
    <t>Vier Minus Drei</t>
  </si>
  <si>
    <t>Áustria + 1 país</t>
  </si>
  <si>
    <t>Áustria, Alemanha</t>
  </si>
  <si>
    <t>Adrian Goiginger</t>
  </si>
  <si>
    <t>Senad Halilbašić</t>
  </si>
  <si>
    <t>Giganten Film Produktions Gmbh, 2010 Entertainment Gmbh</t>
  </si>
  <si>
    <t>Peter Wildling, Gerrit Klein, Martin Pfeil, David Stöllinger, Adrian Goiginger</t>
  </si>
  <si>
    <t>Paul Sprinz</t>
  </si>
  <si>
    <t>Martin Pfeil, Simon Blasi</t>
  </si>
  <si>
    <t>Arash Safaian</t>
  </si>
  <si>
    <t>Valerie Pachner, Robert Stadlober, Stefanie Reinsperger, Hanno Koffler, Margarethe Tiesel, Paul Wolff-Plottegg, Michael Gampe, Ronald Zehrfeld, Michael Fuith, Wolfgang Lampl, Sophia Laggner, Petra Morzé</t>
  </si>
  <si>
    <t>Barbara, uma animadora profissional, vê seu mundo desmoronar após uma perda familiar devastadora. Como única sobrevivente de uma tragédia, ela enfrenta o doloroso processo de luto e isolamento. Este drama sensível explora as profundezas da dor humana e o difícil desafio de reconstruir a vida do zero. Baseado em uma emocionante história real, o filme foca na busca por um novo sentido e na resiliência necessária para reencontrar a esperança quando tudo parece perdido. Exibido na Mostra Panorama do Festival de Berlim 2026.</t>
  </si>
  <si>
    <t>Direção: Adrian Goiginger | Roteiro: Senad Halilbašić | Produtora: Giganten Film Produktions Gmbh, 2010 Entertainment Gmbh | Produção: Peter Wildling, Gerrit Klein, Martin Pfeil, David Stöllinger, Adrian Goiginger | Fotografia: Paul Sprinz | Montagem: Martin Pfeil, Simon Blasi | Música: Arash Safaian | Elenco: Valerie Pachner, Robert Stadlober, Stefanie Reinsperger, Hanno Koffler, Margarethe Tiesel, Paul Wolff-Plottegg, Michael Gampe, Ronald Zehrfeld, Michael Fuith, Wolfgang Lampl, Sophia Laggner, Petra Morzé</t>
  </si>
  <si>
    <t>035</t>
  </si>
  <si>
    <t>https://letterboxd.com/film/queen-at-sea/</t>
  </si>
  <si>
    <t>Rainha ao Mar</t>
  </si>
  <si>
    <t>Queen At Sea</t>
  </si>
  <si>
    <t>Estados Unidos + 1 país</t>
  </si>
  <si>
    <t>Lance Hammer</t>
  </si>
  <si>
    <t>Alluvial Film Company, The Bureau</t>
  </si>
  <si>
    <t>Tristan Goligher, Lance Hammer</t>
  </si>
  <si>
    <t>Adolpho Veloso</t>
  </si>
  <si>
    <t>Georgiamae Bromley, Connie Farr</t>
  </si>
  <si>
    <t>Juliette Binoche, Tom Courtenay, Anna Calder-Marshall, Florence Hunt</t>
  </si>
  <si>
    <t>À medida que a demência avançada compromete a capacidade de Leslie expressar seus desejos, sua filha Amanda e seu marido, Martin, entram em conflito sobre quem deve decidir o que é melhor para ela. As tentativas de equilibrar amor, proteção e autonomia levam a escolhas cada vez mais difíceis, com consequências que escapam ao controle de todos. Vencedor do Prêmio do Júri e de Melhor Atriz Coadjuvante para Anna Calder-Marshall no Festival de Berlim 2026.</t>
  </si>
  <si>
    <t>Direção: Lance Hammer | Roteiro: Lance Hammer | Produtora: Alluvial Film Company, The Bureau | Produção: Tristan Goligher, Lance Hammer | Fotografia: Adolpho Veloso | Montagem: Lance Hammer | Música: Georgiamae Bromley, Connie Farr | Elenco: Juliette Binoche, Tom Courtenay, Anna Calder-Marshall, Florence Hunt</t>
  </si>
  <si>
    <t>036</t>
  </si>
  <si>
    <t>https://letterboxd.com/film/rose-2026/</t>
  </si>
  <si>
    <t>Rose</t>
  </si>
  <si>
    <t>Markus Schleinzer</t>
  </si>
  <si>
    <t>Markus Schleinzer, Alexander Born</t>
  </si>
  <si>
    <t>Johannes Schubert, Philipp Worm, Tobias Walker, Karsten Stöter</t>
  </si>
  <si>
    <t>Gerald Kerkletz</t>
  </si>
  <si>
    <t>Hansjörg Weissbrich</t>
  </si>
  <si>
    <t>Tara Nome Doyle</t>
  </si>
  <si>
    <t>Sandra Hüller, Caro Braun, Marissa Growaldt, Robert Gwisdek, Godehard Giese</t>
  </si>
  <si>
    <t>No início do século XVII, em meio à devastação da Guerra dos Trinta Anos, um misterioso soldado chega a um isolado vilarejo protestante na Alemanha, afirmando ser o herdeiro de uma propriedade abandonada. Embora aos poucos vá conquistando a confiança dos moradores, as suspeitas sobre sua identidade nunca deixam de existir, e ameaçam destruir a vida construída sobre uma farsa impossível. Estreia mundial na competição do Festival de Berlim 2026, em que Sandra Hüller recebeu o Urso de Prata de Melhor Atriz.</t>
  </si>
  <si>
    <t>Direção: Markus Schleinzer | Roteiro: Markus Schleinzer, Alexander Born | Produção: Johannes Schubert, Philipp Worm, Tobias Walker, Karsten Stöter | Fotografia: Gerald Kerkletz | Montagem: Hansjörg Weissbrich | Música: Tara Nome Doyle | Elenco: Sandra Hüller, Caro Braun, Marissa Growaldt, Robert Gwisdek, Godehard Giese</t>
  </si>
  <si>
    <t>037</t>
  </si>
  <si>
    <t>https://letterboxd.com/film/rosebush-pruning/</t>
  </si>
  <si>
    <t>Rosebush Pruning</t>
  </si>
  <si>
    <t>Itália + 3 países</t>
  </si>
  <si>
    <t>Itália, Alemanha, Espanha, Reino Unido</t>
  </si>
  <si>
    <t>Karim Aïnouz</t>
  </si>
  <si>
    <t>Efthimis Filippou</t>
  </si>
  <si>
    <t>The Match Factory, Kavac Film, The Apartment (a Freemantle Company), Sur Film, Rosebushpruning, Crybaby</t>
  </si>
  <si>
    <t>Viola Fügen, Michael Weber</t>
  </si>
  <si>
    <t>Hélène Louvart</t>
  </si>
  <si>
    <t>Heike Parpi, David Jancso, Ilka Janka Nagy</t>
  </si>
  <si>
    <t>Matthew Herbert</t>
  </si>
  <si>
    <t>Callun Turner, Elena Anaya, Elle Fanning, Jamie Bell, Lukas Gage, Pamela Anderson, Riley Keough, Tracy Letts</t>
  </si>
  <si>
    <t>Sob o sol da Catalunha, quatro irmãos norte-americanos vivem com o pai cego em uma mansão, entregues ao isolamento, à fortuna herdada, às roupas de grife e a uma relação de dependência mútua. Quando Jack, o irmão mais velho e pilar da família, anuncia que vai morar com a namorada Martha, o frágil equilíbrio começa a ruir. À medida que Ed investiga a verdade sobre a morte da mãe, antigos segredos e mentiras vêm à tona, desintegrando os laços familiares. Estreia mundial na Competição Oficial do Festival de Berlim 2026.</t>
  </si>
  <si>
    <t>Direção: Karim Aïnouz | Roteiro: Efthimis Filippou | Produtora: The Match Factory, Kavac Film, The Apartment (a Freemantle Company), Sur Film, Rosebushpruning, Crybaby | Produção: Viola Fügen, Michael Weber | Fotografia: Hélène Louvart | Montagem: Heike Parpi, David Jancso, Ilka Janka Nagy | Música: Matthew Herbert | Elenco: Callun Turner, Elena Anaya, Elle Fanning, Jamie Bell, Lukas Gage, Pamela Anderson, Riley Keough, Tracy Letts</t>
  </si>
  <si>
    <t>038</t>
  </si>
  <si>
    <t>https://letterboxd.com/film/no-pain-2026/</t>
  </si>
  <si>
    <t>Sem Dor</t>
  </si>
  <si>
    <t>Nessun dolore</t>
  </si>
  <si>
    <t>Itália</t>
  </si>
  <si>
    <t>Venice Open – Fora de Competição</t>
  </si>
  <si>
    <t>Gianni Amelio</t>
  </si>
  <si>
    <t>Gianni Amelio, Davide Serino, Andrea Quetti</t>
  </si>
  <si>
    <t>Kavac Film, Our Films, Be Water Film</t>
  </si>
  <si>
    <t>Simone Gattoni, Marco Bellocchio, Lorenzo Mieli, Mario Gianani, Mattia Guerra</t>
  </si>
  <si>
    <t>Luan Amelio Ujkaj</t>
  </si>
  <si>
    <t>Stefano Mariotti</t>
  </si>
  <si>
    <t>Fabio Massimo Capogrosso</t>
  </si>
  <si>
    <t>Alessandro Borghi, Valeria Golino, Valerio Mastandrea, Beidja Yahiaoui, Ramzi Lafrindi, Gabriel Bovino</t>
  </si>
  <si>
    <t>Davide, um livreiro de trinta e poucos anos, vende livros usados numa praça de Roma e leva uma vida solitária, tendo como principal companhia Elsa, professora de literatura com quem mantém uma relação de amizade e afeto. Tudo muda quando um desconhecido deixa sob seus cuidados um menino norte-africano. Após um acidente que o enche de culpa, Davide acolhe Aminah, uma adolescente argelina grávida e sem ter para onde ir. Aos poucos, sua casa se transforma em abrigo para migrantes. Exibido fora de competição no Festival de Veneza 2026.</t>
  </si>
  <si>
    <t>Direção: Gianni Amelio | Roteiro: Gianni Amelio, Davide Serino, Andrea Quetti | Produtora: Kavac Film, Our Films, Be Water Film | Produção: Simone Gattoni, Marco Bellocchio, Lorenzo Mieli, Mario Gianani, Mattia Guerra | Fotografia: Luan Amelio Ujkaj | Montagem: Stefano Mariotti | Música: Fabio Massimo Capogrosso | Elenco: Alessandro Borghi, Valeria Golino, Valerio Mastandrea, Beidja Yahiaoui, Ramzi Lafrindi, Gabriel Bovino</t>
  </si>
  <si>
    <t>039</t>
  </si>
  <si>
    <t>https://letterboxd.com/film/well-find-happiness/</t>
  </si>
  <si>
    <t>Seremos Felizes</t>
  </si>
  <si>
    <t>On Seura Heureux</t>
  </si>
  <si>
    <t>Canadá + 1 país</t>
  </si>
  <si>
    <t>Canadá, Luxemburgo</t>
  </si>
  <si>
    <t>Lea Pool</t>
  </si>
  <si>
    <t>Michel Marc Bouchard</t>
  </si>
  <si>
    <t>Lyse Lafontaine, Katarzyna Ozg</t>
  </si>
  <si>
    <t>Yves Bélanger</t>
  </si>
  <si>
    <t>Michel Arcand</t>
  </si>
  <si>
    <t>Kyan Bayani</t>
  </si>
  <si>
    <t>Mehdi Meskar, Alexandre Landry, Aron Archer, Céline Bonnier, Sascha Ley</t>
  </si>
  <si>
    <t>Saad, um refugiado marroquino, vive no Canadá com Reza, seu companheiro iraniano. Quando Reza enfrenta a ameaça de deportação para um país onde sua vida corre perigo, o casal inicia uma corrida contra o tempo. Diante do rigoroso sistema de imigração, Saad arrisca tudo em um plano desesperado para salvar o homem que ama, testando os limites do afeto e da sobrevivência.</t>
  </si>
  <si>
    <t>Direção: Lea Pool | Roteiro: Michel Marc Bouchard | Produção: Lyse Lafontaine, Katarzyna Ozg | Fotografia: Yves Bélanger | Montagem: Michel Arcand | Música: Kyan Bayani | Elenco: Mehdi Meskar, Alexandre Landry, Aron Archer, Céline Bonnier, Sascha Ley</t>
  </si>
  <si>
    <t>040</t>
  </si>
  <si>
    <t>https://letterboxd.com/film/sheep-in-the-box/</t>
  </si>
  <si>
    <t>Sheep in the Box</t>
  </si>
  <si>
    <t>Hako no Naka no Hitsuji</t>
  </si>
  <si>
    <t>Hirokazu Kore-Eda</t>
  </si>
  <si>
    <t>Fuji Television Network</t>
  </si>
  <si>
    <t>Kaoru Matsuzaki, Megumi Banse</t>
  </si>
  <si>
    <t>Ryuto Kondo</t>
  </si>
  <si>
    <t>Haruka Ayase, Daigo, Kuwaki Rimu</t>
  </si>
  <si>
    <t>Em um futuro próximo, o casal Otone e Kensuke tenta superar a dor devastadora de perder o filho pequeno. Diante do luto, eles decidem acolher em sua casa um robô humanoide de última geração projetado com a mesma aparência e voz do filho falecido. Enquanto a mãe aceita a réplica para tentar restaurar sua rotina, o pai reluta em acolher a máquina. A dinâmica familiar se complica quando o androide começa a escapar secretamente para se conectar com outros de sua espécie. Exibido na mostra competitiva do Festival de Cannes 2026.</t>
  </si>
  <si>
    <t>Direção: Hirokazu Kore-Eda | Roteiro: Hirokazu Kore-Eda | Produtora: Fuji Television Network | Produção: Kaoru Matsuzaki, Megumi Banse | Fotografia: Ryuto Kondo | Elenco: Haruka Ayase, Daigo, Kuwaki Rimu</t>
  </si>
  <si>
    <t>041</t>
  </si>
  <si>
    <t>https://letterboxd.com/film/seuls-les-rebelles/</t>
  </si>
  <si>
    <t>Só os Rebeldes Vencem</t>
  </si>
  <si>
    <t>Seuls les rebelles</t>
  </si>
  <si>
    <t>França + 2 países</t>
  </si>
  <si>
    <t>França, Líbano, Catar</t>
  </si>
  <si>
    <t>Danielle Arbid</t>
  </si>
  <si>
    <t>Easy Riders Films, Abbout Productions, Sunnyland Film</t>
  </si>
  <si>
    <t>Nadia Turincev, Georges Schoucair, Omar El Kadi</t>
  </si>
  <si>
    <t>Céline Bozon</t>
  </si>
  <si>
    <t>Clément Pinteaux</t>
  </si>
  <si>
    <t>Bachar Mar-Khalifé</t>
  </si>
  <si>
    <t>Hiam Abbass, Amine Benrachid, Shaden Fakih, Alexandre Paulikevitch, Cynthia El Khazen</t>
  </si>
  <si>
    <t>Beirute. Suzanne conhece Osmane após salvá-lo de um ataque racista. Ele é um jovem sudanês sem documentos; ela, uma viúva de classe média com o dobro de sua idade. Contra as expectativas, os dois se apaixonam. Em um Líbano à beira do colapso, o romance gera indignação: os filhos se afastam, vizinhos chamam a polícia e padres recusam o casamento. Diante da hostilidade de uma sociedade fraturada, eles resistem. Exibido na mostra Panorama do Festival de Berlim 2026.</t>
  </si>
  <si>
    <t>Direção: Danielle Arbid | Roteiro: Danielle Arbid | Produtora: Easy Riders Films, Abbout Productions, Sunnyland Film | Produção: Nadia Turincev, Georges Schoucair, Omar El Kadi | Fotografia: Céline Bozon | Montagem: Clément Pinteaux | Música: Bachar Mar-Khalifé | Elenco: Hiam Abbass, Amine Benrachid, Shaden Fakih, Alexandre Paulikevitch, Cynthia El Khazen</t>
  </si>
  <si>
    <t>042</t>
  </si>
  <si>
    <t>https://letterboxd.com/film/we-are-all-strangers/</t>
  </si>
  <si>
    <t>Somos Todos Estranhos</t>
  </si>
  <si>
    <t>Wo Men Bu Shi Mo Sheng Ren</t>
  </si>
  <si>
    <t>Singapura</t>
  </si>
  <si>
    <t>2026, Singapura</t>
  </si>
  <si>
    <t>Anthony Chen</t>
  </si>
  <si>
    <t>Giraffe Pictures</t>
  </si>
  <si>
    <t>Teoh Gay Hian</t>
  </si>
  <si>
    <t>Hoping Chen</t>
  </si>
  <si>
    <t>Kin Leonn, Thomas Foguenne</t>
  </si>
  <si>
    <t>Yeo Yann Yann, Koh Jia Ler, Andi Lim, Regene Lim</t>
  </si>
  <si>
    <t>Na agitada Singapura contemporânea, Junyang, de 21 anos, aproveita a despreocupação da juventude enquanto o pai luta para sustentar a vida modesta que compartilham. Uma transformação inesperada em seu namoro o obriga a encarar a vida adulta antes do previsto. Ao mesmo tempo, a chegada de uma mulher expansiva à vida do pai altera o equilíbrio entre os dois. Diante do amor, da perda e da responsabilidade, pai e filho precisam repensar o significado de família e os vínculos que escolhem construir. Estreia mundial na competição oficial do Festival de Berlim 2026.</t>
  </si>
  <si>
    <t>Direção: Anthony Chen | Roteiro: Anthony Chen | Produtora: Giraffe Pictures | Produção: Anthony Chen | Fotografia: Teoh Gay Hian | Montagem: Hoping Chen | Música: Kin Leonn, Thomas Foguenne | Elenco: Yeo Yann Yann, Koh Jia Ler, Andi Lim, Regene Lim</t>
  </si>
  <si>
    <t>043</t>
  </si>
  <si>
    <t>https://letterboxd.com/film/soumsoum-the-night-of-the-stars/</t>
  </si>
  <si>
    <t>Soumsoum, a Noite das Estrelas</t>
  </si>
  <si>
    <t>Soumsoum, la nuit des astres</t>
  </si>
  <si>
    <t>Chade, França</t>
  </si>
  <si>
    <t>Mahamat-Saleh Haroun</t>
  </si>
  <si>
    <t>Mahamat-Saleh Haroun, Laurent Gaudé</t>
  </si>
  <si>
    <t>Goï Goï Productions, Pili Films, Florence Stern</t>
  </si>
  <si>
    <t>Florence Stern</t>
  </si>
  <si>
    <t>Mathieu Giombini</t>
  </si>
  <si>
    <t>Svetlana Vaynblat</t>
  </si>
  <si>
    <t>Bibi Tanga</t>
  </si>
  <si>
    <t>Maïmouna Miawama, Eriq Ebouaney, Achouackh Abakar Souleymane, Brigitte Tchanegue, Christ Assidjim Mbaihornom, Alias Small Christ, Sambo Saleh Adam</t>
  </si>
  <si>
    <t>No deserto de Ennedi, no Chade, montanhas milenares emergem da areia, guardando a memória de um passado esquecido e sussurrando antigas lendas. Kellou, de 17 anos, é atormentada por visões que não compreende e que a afastam dos outros moradores de seu vilarejo. Sua vida muda ao conhecer Aya, uma mulher rejeitada pela comunidade. Do encontro entre as duas nasce um vínculo que aproxima o visível e o invisível, a memória e a resistência. Vencedor do Prêmio FIPRESCI no Festival de Berlim 2026, onde integrou a competição oficial.</t>
  </si>
  <si>
    <t>Direção: Mahamat-Saleh Haroun | Roteiro: Mahamat-Saleh Haroun, Laurent Gaudé | Produtora: Goï Goï Productions, Pili Films, Florence Stern | Produção: Florence Stern | Fotografia: Mathieu Giombini | Montagem: Svetlana Vaynblat | Música: Bibi Tanga | Elenco: Maïmouna Miawama, Eriq Ebouaney, Achouackh Abakar Souleymane, Brigitte Tchanegue, Christ Assidjim Mbaihornom, Alias Small Christ, Sambo Saleh Adam</t>
  </si>
  <si>
    <t>044</t>
  </si>
  <si>
    <t>https://letterboxd.com/film/mr-nelson-did-you-kill-people/</t>
  </si>
  <si>
    <t>Sr. Nelson, o senhor Matou Pessoas?</t>
  </si>
  <si>
    <t>Nelson-san, anata wa hito o koro shimashita ka?</t>
  </si>
  <si>
    <t>Japão, Estados Unidos, Tailândia, Vietnã</t>
  </si>
  <si>
    <t>Shinya Tsukamoto</t>
  </si>
  <si>
    <t>Kino Films Co., Kinoshita Group. Ltd</t>
  </si>
  <si>
    <t>Yumiko Takebe, Christopher Frey</t>
  </si>
  <si>
    <t>Ermhoi</t>
  </si>
  <si>
    <t>Rodney Hicks, Geoffrey Rush, Mark Merphy, Tatyana Ali, Lily Franky</t>
  </si>
  <si>
    <t>Aos 18 anos, Allen Nelson se alista nos fuzileiros navais para escapar da pobreza e da discriminação. Enviado à Guerra do Vietnã em 1966, logo descobre que nada o havia preparado para a violência do combate nem para os crimes que seria obrigado a cometer. De volta aos Estados Unidos, atormentado pelas lembranças e por um grave transtorno de estresse pós-traumático, Allen encontra no acompanhamento do psiquiatra Dr. Daniels um caminho para confrontar o passado. Baseado em uma história real. Exibido em competição no Festival de Veneza 2026.</t>
  </si>
  <si>
    <t>Direção: Shinya Tsukamoto | Roteiro: Shinya Tsukamoto | Produtora: Kino Films Co., Kinoshita Group. Ltd | Produção: Yumiko Takebe, Christopher Frey | Fotografia: Shinya Tsukamoto | Montagem: Shinya Tsukamoto | Música: Ermhoi | Elenco: Rodney Hicks, Geoffrey Rush, Mark Merphy, Tatyana Ali, Lily Franky</t>
  </si>
  <si>
    <t>045</t>
  </si>
  <si>
    <t>https://letterboxd.com/film/tender-loving-care-2026/</t>
  </si>
  <si>
    <t>Tender Loving Care</t>
  </si>
  <si>
    <t>Mike Leigh</t>
  </si>
  <si>
    <t>Bleecker Street</t>
  </si>
  <si>
    <t>Georgina Lowe</t>
  </si>
  <si>
    <t>Lucy Bristow</t>
  </si>
  <si>
    <t>Tania Reddin</t>
  </si>
  <si>
    <t>Gary Yershon</t>
  </si>
  <si>
    <t>Marion Bailey, Paul Jesson, Kate O'flynn, Alice Bailey Johnson</t>
  </si>
  <si>
    <t>Após o fim de um relacionamento, Amy, assistente social dedicada à proteção de crianças, volta a morar com Rosie, sua melhor amiga e também assistente social. As duas passam os dias amparando pessoas que o Estado já não consegue proteger, ao mesmo tempo que enfrentam suas próprias fragilidades. A preocupação dos pais idosos de Amy com a felicidade da filha ganha novo sentido quando eles se veem diante de uma crise. Com humor e ternura, Mike Leigh retrata os laços que nos sustentam quando cuidar e aceitar cuidado se tornam igualmente difíceis.</t>
  </si>
  <si>
    <t>Direção: Mike Leigh | Roteiro: Mike Leigh | Produtora: Bleecker Street | Produção: Georgina Lowe | Fotografia: Lucy Bristow | Montagem: Tania Reddin | Música: Gary Yershon | Elenco: Marion Bailey, Paul Jesson, Kate O'flynn, Alice Bailey Johnson</t>
  </si>
  <si>
    <t>046</t>
  </si>
  <si>
    <t>https://letterboxd.com/film/the-echo-chamber/</t>
  </si>
  <si>
    <t>The Echo Chamber</t>
  </si>
  <si>
    <t>Echo Chamber, The</t>
  </si>
  <si>
    <t>Itália + 1 país</t>
  </si>
  <si>
    <t>Itália, Bélgica</t>
  </si>
  <si>
    <t>Andrea Pallaoro</t>
  </si>
  <si>
    <t>Bernardo Bertolucci, Ilaria Bernardini, Ludovica Rampoldi</t>
  </si>
  <si>
    <t>Indigo Film</t>
  </si>
  <si>
    <t>Nicola Giuliano, Francesca Cima, Carlotta Calori, Viola Prestieri</t>
  </si>
  <si>
    <t>Diego Garçia</t>
  </si>
  <si>
    <t>Paola Freddi</t>
  </si>
  <si>
    <t>Clément Ducol</t>
  </si>
  <si>
    <t>Luca Marinelli, Alicia Vikander, Susan Sarandon</t>
  </si>
  <si>
    <t>Leo, um célebre produtor musical, leva uma vida glamourosa que começa a fugir do controle. Durante um caso com Anne, uma fisioterapeuta, os limites entre afeto e dependência e desejo e dominação tornam-se cada vez mais incertos. Presos a um ciclo de vai e vem, os dois não conseguem permanecer juntos nem se libertar um do outro. Pelos cômodos do apartamento, a voz de Ava atravessa o tempo, trazendo à tona lembranças, feridas e tudo aquilo que já não pode ser contido. O filme parte do último roteiro de Bernardo Bertolucci. Competição principal do Festival de Veneza de 2026.</t>
  </si>
  <si>
    <t>Direção: Andrea Pallaoro | Roteiro: Bernardo Bertolucci, Ilaria Bernardini, Ludovica Rampoldi | Produtora: Indigo Film | Produção: Nicola Giuliano, Francesca Cima, Carlotta Calori, Viola Prestieri | Fotografia: Diego Garçia | Montagem: Paola Freddi | Música: Clément Ducol | Elenco: Luca Marinelli, Alicia Vikander, Susan Sarandon</t>
  </si>
  <si>
    <t>047</t>
  </si>
  <si>
    <t>https://letterboxd.com/film/the-man-i-love-2026/</t>
  </si>
  <si>
    <t>The Man I Love</t>
  </si>
  <si>
    <t>Man I Love, The</t>
  </si>
  <si>
    <t>Estados Unidos, França</t>
  </si>
  <si>
    <t>Ira Sachs</t>
  </si>
  <si>
    <t>Mauricio Zacharias, Ira Sachs</t>
  </si>
  <si>
    <t>Big Greek</t>
  </si>
  <si>
    <t>Scott Mcgehee, David Siegel, Mike Spreter, Myriam Schroeter, Said Ben Said</t>
  </si>
  <si>
    <t>Josée Deshaies, Afc</t>
  </si>
  <si>
    <t>Affonso Goncalves, A.C.E.</t>
  </si>
  <si>
    <t>Rami Malek, Tom Sturridge, Luther Ford, Rebecca Hall, Ebon Moss-Bachrach, Amy Carlson, Maisy Stella, Stephen Bradbury, Stephen Adly Guirgis, Dennis Courtis, Sasha Lane, Kevin Rennard, Chris Giarmo, Nath Ann Carrera, Ryan Sands, Johannes Kienast, Mohammad Ghaffari, Lizbeth Mackay</t>
  </si>
  <si>
    <t>Ambientado na vibrante Nova York do final dos anos 1980, a história acompanha Jimmy George, um ator e artista performático, morador de downtown, navegando a dura realidade do diagnóstico de AIDS naquela década. Depois de uma internação delicada, na qual esteve à beira da morte, ele vivencia uma janela preciosa e desafiadora de tempo entre a doença grave e a perspectiva da morte. Recusando- -se a ser definido pela doença, Jimmy coloca todas as energias na busca pela beleza, pela arte e pelo desejo. Competição Principal no Festival de Cannes 2026.</t>
  </si>
  <si>
    <t>Direção: Ira Sachs | Roteiro: Mauricio Zacharias, Ira Sachs | Produtora: Big Greek | Produção: Scott Mcgehee, David Siegel, Mike Spreter, Myriam Schroeter, Said Ben Said | Fotografia: Josée Deshaies, Afc | Montagem: Affonso Goncalves, A.C.E. | Elenco: Rami Malek, Tom Sturridge, Luther Ford, Rebecca Hall, Ebon Moss-Bachrach, Amy Carlson, Maisy Stella, Stephen Bradbury, Stephen Adly Guirgis, Dennis Courtis, Sasha Lane, Kevin Rennard, Chris Giarmo, Nath Ann Carrera, Ryan Sands, Johannes Kienast, Mohammad Ghaffari, Lizbeth Mackay</t>
  </si>
  <si>
    <t>048</t>
  </si>
  <si>
    <t>https://letterboxd.com/film/everybody-digs-bill-evans/</t>
  </si>
  <si>
    <t>Todo Mundo Curte Bill Evans</t>
  </si>
  <si>
    <t>Everybody Digs Bill Evans</t>
  </si>
  <si>
    <t>Irlanda + 1 país</t>
  </si>
  <si>
    <t>Irlanda, Reino Unido</t>
  </si>
  <si>
    <t>Grant Gee</t>
  </si>
  <si>
    <t>Mark O’halloran</t>
  </si>
  <si>
    <t>Hot Property Films, Cowtown Pictures</t>
  </si>
  <si>
    <t>Janine Mamot, Alan Maher</t>
  </si>
  <si>
    <t>Piers Mcgrail Isc</t>
  </si>
  <si>
    <t>Piers Mcgrail</t>
  </si>
  <si>
    <t>Roger Goula</t>
  </si>
  <si>
    <t>Anders Danielsen Lie, Barry Ward, Bill Pullman, Katie Mcgrath, Laurie Metcalf, Valene Kane</t>
  </si>
  <si>
    <t>Junho de 1961, Nova York. O lendário pianista de jazz Bill Evans encontrou sua voz musical e formou o trio perfeito, que incluía o baixista Scott LaFaro, sua alma gêmea musical. Dias depois de uma temporada no Village Vanguard, LaFaro morre tragicamente em um acidente de carro. Paralisado pela dor, Evans para de tocar pela primeira vez desde a infância. O documentário registra o que aconteceu a seguir com uma das figuras mais influentes e talentosas da música do século XX. Vencedor do Urso de Prata de Melhor Direção no Festival de Berlim 2026.</t>
  </si>
  <si>
    <t>Direção: Grant Gee | Roteiro: Mark O’halloran | Produtora: Hot Property Films, Cowtown Pictures | Produção: Janine Mamot, Alan Maher | Fotografia: Piers Mcgrail Isc | Montagem: Piers Mcgrail | Música: Roger Goula | Elenco: Anders Danielsen Lie, Barry Ward, Bill Pullman, Katie Mcgrath, Laurie Metcalf, Valene Kane</t>
  </si>
  <si>
    <t>049</t>
  </si>
  <si>
    <t>https://letterboxd.com/film/all-the-lovers-in-the-night/</t>
  </si>
  <si>
    <t>Todos os Amantes da Noite</t>
  </si>
  <si>
    <t>Subete Mayonaka No Koibitotachi</t>
  </si>
  <si>
    <t>Un Certain Regard</t>
  </si>
  <si>
    <t>Yukiko Sode</t>
  </si>
  <si>
    <t>C&amp;i Entertainment, Bitters End</t>
  </si>
  <si>
    <t>Yasuyuki Sasaki</t>
  </si>
  <si>
    <t>Azusa Yamazaki</t>
  </si>
  <si>
    <t>Masato Suzuki</t>
  </si>
  <si>
    <t>Yukino Kishii, Tadanobu Asano, Misato Morita, Mai Fukagawa, Akihisa Shiono, Yuko Nakamura, Mijika Nagai, Kilala Inori, Tomo Nakai, Yuta Hayashi, Tori Matsuzaka</t>
  </si>
  <si>
    <t>Fuyuko leva uma vida silenciosa como revisora freelancer, quase sem contato com outras pessoas. Em seu aniversário, cultiva um único ritual: caminhar sozinha pela cidade à meia-noite. Sua rotina começa a mudar ao conhecer Mitsutsuka, um reservado professor de física que a convida a conversar sobre a luz. À medida que os encontros se repetem, uma conexão delicada surge entre esses dois desconhecidos que guardam o que não conseguem revelar. Adaptação do romance de Mieko Kawakami. Seleção oficial da mostra Un Certain Regard do Festival de Cannes 2026.</t>
  </si>
  <si>
    <t>Direção: Yukiko Sode | Roteiro: Yukiko Sode | Produtora: C&amp;i Entertainment, Bitters End | Fotografia: Yasuyuki Sasaki | Montagem: Azusa Yamazaki | Música: Masato Suzuki | Elenco: Yukino Kishii, Tadanobu Asano, Misato Morita, Mai Fukagawa, Akihisa Shiono, Yuko Nakamura, Mijika Nagai, Kilala Inori, Tomo Nakai, Yuta Hayashi, Tori Matsuzaka</t>
  </si>
  <si>
    <t>050</t>
  </si>
  <si>
    <t>https://letterboxd.com/film/notre-salut/</t>
  </si>
  <si>
    <t>Um Homem do seu Tempo</t>
  </si>
  <si>
    <t>Notre Salut</t>
  </si>
  <si>
    <t>Bélgica + 1 país</t>
  </si>
  <si>
    <t>Emmanuel Marre</t>
  </si>
  <si>
    <t>Kidam, Michigan Films</t>
  </si>
  <si>
    <t>Alexandre Perrier, François Pierre Clavel, Sébastien Andres, Alice Lemaire</t>
  </si>
  <si>
    <t>Olivier Boonjing</t>
  </si>
  <si>
    <t>Nicolas Rumpl</t>
  </si>
  <si>
    <t>Sandrine Blancke, Harpo Guit, Jean-Baptiste Marre, Mathieu Perotto, Mathilde Abd-El-Kader, Swann Arlaud</t>
  </si>
  <si>
    <t>Setembro de 1940. Enquanto o regime autoritário de Vichy se instala, Henri Marre, falido e afastado da família, chega à cidade com exemplares de seu manifesto político. Convencido de que merece um lugar na nova administração, o engenheiro oferece seu patriotismo e sua obsessão pela eficiência a uma máquina que exige obediência crescente. Inspirado nos arquivos familiares do diretor, o drama examina como ambição, fracasso e desejo de pertencimento alimentam a engrenagem da colaboração. Vencedor do prêmio de Melhor Roteiro no Festival de Cannes 2026.</t>
  </si>
  <si>
    <t>Direção: Emmanuel Marre | Roteiro: Emmanuel Marre | Produtora: Kidam, Michigan Films | Produção: Alexandre Perrier, François Pierre Clavel, Sébastien Andres, Alice Lemaire | Fotografia: Olivier Boonjing | Montagem: Nicolas Rumpl | Elenco: Sandrine Blancke, Harpo Guit, Jean-Baptiste Marre, Mathieu Perotto, Mathilde Abd-El-Kader, Swann Arlaud</t>
  </si>
  <si>
    <t>051</t>
  </si>
  <si>
    <t>https://letterboxd.com/film/a-long-winter-2026/</t>
  </si>
  <si>
    <t>Um Longo Inverno</t>
  </si>
  <si>
    <t>Long Winter, A</t>
  </si>
  <si>
    <t>Canadá, Reino Unido</t>
  </si>
  <si>
    <t>Andrew Haigh</t>
  </si>
  <si>
    <t>Nomadic Pictures</t>
  </si>
  <si>
    <t>Trsitan Goligher, Mike Elliott</t>
  </si>
  <si>
    <t>Andrew Turpin</t>
  </si>
  <si>
    <t>Jonathan Alberts</t>
  </si>
  <si>
    <t>Fred Hechinger, Catríona Balfe, D'pharaoh Woon-A-Tai, David Furr, Ebon Moss-Bachrach, Kit Connor, Manuel Garcia-Rulfo, Martin Freman</t>
  </si>
  <si>
    <t>No início dos anos 1950, nas montanhas do oeste dos Estados Unidos, Mikey vê sua família se desfazer lentamente. O irmão parte para a Guerra da Coreia, enquanto a mãe se sente cada vez mais aprisionada ao casamento e à vida isolada ao lado do marido, um mineiro de carvão. Quando ela desaparece durante uma tempestade de neve, pai e filho enfrentam a paisagem hostil em sua busca. Adaptado do conto de Colm Tóibín, o drama transforma a ausência em uma jornada íntima de amadurecimento e desejo. Seleção oficial dos festivais de Toronto e Nova York 2026.</t>
  </si>
  <si>
    <t>Direção: Andrew Haigh | Roteiro: Andrew Haigh | Produtora: Nomadic Pictures | Produção: Trsitan Goligher, Mike Elliott | Fotografia: Andrew Turpin | Montagem: Jonathan Alberts | Elenco: Fred Hechinger, Catríona Balfe, D'pharaoh Woon-A-Tai, David Furr, Ebon Moss-Bachrach, Kit Connor, Manuel Garcia-Rulfo, Martin Freman</t>
  </si>
  <si>
    <t>052</t>
  </si>
  <si>
    <t>https://letterboxd.com/film/15-18/</t>
  </si>
  <si>
    <t>Um Lugar Para se Curar</t>
  </si>
  <si>
    <t>15/18</t>
  </si>
  <si>
    <t>Cédric Kahn</t>
  </si>
  <si>
    <t>Cédric Kahn, Kahina le Querrec</t>
  </si>
  <si>
    <t>Ad Vitam Films</t>
  </si>
  <si>
    <t>Alexandra Henochsberg</t>
  </si>
  <si>
    <t>Patrick Ghiringhelli</t>
  </si>
  <si>
    <t>Géraldine Mangenot</t>
  </si>
  <si>
    <t>Gael Rakotondrabe</t>
  </si>
  <si>
    <t>Malou Khebizi, Zoé Monpart, Kenji Peyran, Raphaël Besson, Patience Munchenbach, Ahleme Sahraoui, Jade Philip</t>
  </si>
  <si>
    <t>Levada pela polícia à ala psiquiátrica juvenil de um hospital público, Lucia, de 17 anos, reencontra a amiga Eloïse e um grupo de jovens em sofrimento. Conduzida por Etienne, a equipe médica ouve famílias e gerencia a rotina de um setor sobrecarregado. Entre pacientes e cuidadores, surgem laços frágeis que abrem espaço para lampejos de esperança. Contudo, o equilíbrio é ameaçado com a misteriosa chegada de Enzo. O drama integrou a Seleção Oficial Competitiva do Festival de Veneza de 2026.</t>
  </si>
  <si>
    <t>Direção: Cédric Kahn | Roteiro: Cédric Kahn, Kahina le Querrec | Produtora: Ad Vitam Films | Produção: Alexandra Henochsberg | Fotografia: Patrick Ghiringhelli | Montagem: Géraldine Mangenot | Música: Gael Rakotondrabe | Elenco: Malou Khebizi, Zoé Monpart, Kenji Peyran, Raphaël Besson, Patience Munchenbach, Ahleme Sahraoui, Jade Philip</t>
  </si>
  <si>
    <t>053</t>
  </si>
  <si>
    <t>https://letterboxd.com/film/un-bon-petit-soldat/</t>
  </si>
  <si>
    <t>Um Pequeno Bom Soldado</t>
  </si>
  <si>
    <t>Un bon petit soldat</t>
  </si>
  <si>
    <t>Stéphane Brizé</t>
  </si>
  <si>
    <t>Stéphane Brizé, Coralie Amédéo, Olivier Gorce</t>
  </si>
  <si>
    <t>Gaumont, France 3 Cinéma</t>
  </si>
  <si>
    <t>Sidonie Dumas</t>
  </si>
  <si>
    <t>Antoine Héberlé</t>
  </si>
  <si>
    <t>Bertrand Blessing</t>
  </si>
  <si>
    <t>Alba Rohrwacher, Vincent Lindon, Sharif Andoura, David Talbot, Adrien Bobinet, Philippe Pollet-Villard, Rose Bourdon, Carine Rouvier, Sandra le Gall</t>
  </si>
  <si>
    <t>Aos 43 anos, Carla construiu uma carreira de sucesso à custa da vida familiar. Contratada para dirigir os recursos humanos de uma grande empresa, recebe a missão de promover o bem-estar dos funcionários sem comprometer as metas de desempenho. Ao descobrir um caso de gestão abusiva, percebe que cumprir as ordens pode significar trair aquilo que deveria defender. O filme venceu o prêmio de melhor roteiro no Festival de Veneza de 2026.</t>
  </si>
  <si>
    <t>Direção: Stéphane Brizé | Roteiro: Stéphane Brizé, Coralie Amédéo, Olivier Gorce | Produtora: Gaumont, France 3 Cinéma | Produção: Sidonie Dumas | Fotografia: Antoine Héberlé | Montagem: Géraldine Mangenot | Música: Bertrand Blessing | Elenco: Alba Rohrwacher, Vincent Lindon, Sharif Andoura, David Talbot, Adrien Bobinet, Philippe Pollet-Villard, Rose Bourdon, Carine Rouvier, Sandra le Gall</t>
  </si>
  <si>
    <t>054</t>
  </si>
  <si>
    <t>https://letterboxd.com/film/le-vertige/</t>
  </si>
  <si>
    <t>Vertigem</t>
  </si>
  <si>
    <t>Vertige, Le</t>
  </si>
  <si>
    <t>Animação</t>
  </si>
  <si>
    <t>Quentin Dupieux</t>
  </si>
  <si>
    <t>Hugo Sélignac, Quentin Dupieux</t>
  </si>
  <si>
    <t>Quentin Dupieux, Léo Pouliquen</t>
  </si>
  <si>
    <t>Franck Lascombes</t>
  </si>
  <si>
    <t>Alain Chabat, Jonathan Cohen, Anaïs Demoustier, Jean-Marie Winling</t>
  </si>
  <si>
    <t>Jacques visita seu grande amigo Bruno para compartilhar uma notícia urgente e monumental: toda a humanidade vive dentro de uma gigantesca simulação digital. Levando a teoria surpreendentemente a sério, Bruno inicia uma busca frenética por falhas na realidade cotidiana, o que aos poucos desestabiliza completamente o seu dia comum. Com uma estética deliberada de videogame retrô, esta comédia surreal explora os limites da existência. Exibido no Festival de Cannes 2026 na mostra Quinzena dos Realizadores.</t>
  </si>
  <si>
    <t>Direção: Quentin Dupieux | Roteiro: Quentin Dupieux | Produtora: Chi-Fou-Mi Productions | Produção: Hugo Sélignac, Quentin Dupieux | Fotografia: Quentin Dupieux | Montagem: Quentin Dupieux, Léo Pouliquen | Música: Franck Lascombes | Elenco: Alain Chabat, Jonathan Cohen, Anaïs Demoustier, Jean-Marie Winling</t>
  </si>
  <si>
    <t>055</t>
  </si>
  <si>
    <t>https://letterboxd.com/film/your-mother-your-mother-your-mother/</t>
  </si>
  <si>
    <t>Your Mother Your Mother Your Mother</t>
  </si>
  <si>
    <t>Bassam Tariq</t>
  </si>
  <si>
    <t>Two &amp; Two Pictures</t>
  </si>
  <si>
    <t>Lucan Toh, Babak Anvari, Bassam Tariq</t>
  </si>
  <si>
    <t>Katelin Arizmendi</t>
  </si>
  <si>
    <t>Cam Mclauchlin</t>
  </si>
  <si>
    <t>Son Lux</t>
  </si>
  <si>
    <t>Mahershala Ali, John Cho, Abubakr Ali, Adia, Giancarlo Esposito</t>
  </si>
  <si>
    <t>Latif é um muçulmano devoto, pai de três filhos e matador de aluguel guiado por um rígido código: não usa armas de fogo e só aceita alvos que considera merecedores. Após a morte da esposa, decide abandonar o crime e se dedicar à família. Mas o antigo patrão e uma guerra entre grupos religiosos de Houston frustram seus planos. Latif precisa encontrar leite materno para a filha bebê, ao mesmo tempo que a violência volta a cercá-lo e põe à prova sua fé e suas convicções. Estreia mundial no Festival de Toronto de 2026.</t>
  </si>
  <si>
    <t>Direção: Bassam Tariq | Roteiro: Bassam Tariq | Produtora: Two &amp; Two Pictures | Produção: Lucan Toh, Babak Anvari, Bassam Tariq | Fotografia: Katelin Arizmendi | Montagem: Cam Mclauchlin | Música: Son Lux | Elenco: Mahershala Ali, John Cho, Abubakr Ali, Adia, Giancarlo Esposito</t>
  </si>
  <si>
    <t>056</t>
  </si>
  <si>
    <t>Expectativa</t>
  </si>
  <si>
    <t>https://letterboxd.com/film/3-weeks-after/</t>
  </si>
  <si>
    <t>3 Semanas Depois</t>
  </si>
  <si>
    <t>3 nedelje posle</t>
  </si>
  <si>
    <t>Sérvia + 4 países</t>
  </si>
  <si>
    <t>Sérvia, Bulgária, Itália, Croácia, Luxemburgo</t>
  </si>
  <si>
    <t>Miroslav Terzić</t>
  </si>
  <si>
    <t>Vladimir Arsenijević, Miroslav Terzić, Bojan Vuletić</t>
  </si>
  <si>
    <t>This And That Productions</t>
  </si>
  <si>
    <t>Snežana van Houwelingen, Branislav Trifunović</t>
  </si>
  <si>
    <t>Damjan Radovanović</t>
  </si>
  <si>
    <t>Marko Ferković</t>
  </si>
  <si>
    <t>Lp Duo, Sonja Lončar &amp; Andy Pavlov</t>
  </si>
  <si>
    <t>Jovan Ginić, Tihana Lazović, Branislav Trifunović, Andjela Alavirević, Klara Karaulić, Andrija Marković</t>
  </si>
  <si>
    <t>Três semanas após o suicídio de um colega, uma turma de adolescentes parte para uma excursão escolar à Bulgária. Quando o ônibus quebra e o grupo fica isolado em um antigo hotel nas montanhas, Zoza, melhor amigo do jovem morto, decide confrontar colegas e professores sobre o bullying que o levou à morte. Um olhar sobre os dilemas da adolescência, a omissão dos adultos e um acerto de contas com a culpa, o silêncio e a responsabilidade coletiva.</t>
  </si>
  <si>
    <t>Direção: Miroslav Terzić | Roteiro: Vladimir Arsenijević, Miroslav Terzić, Bojan Vuletić | Produtora: This And That Productions | Produção: Snežana van Houwelingen, Branislav Trifunović | Fotografia: Damjan Radovanović | Montagem: Marko Ferković | Música: Lp Duo, Sonja Lončar &amp; Andy Pavlov | Elenco: Jovan Ginić, Tihana Lazović, Branislav Trifunović, Andjela Alavirević, Klara Karaulić, Andrija Marković</t>
  </si>
  <si>
    <t>057</t>
  </si>
  <si>
    <t>9 Templos Para o Céu</t>
  </si>
  <si>
    <t>9 Temples Vers le Ciel</t>
  </si>
  <si>
    <t>Tailândia</t>
  </si>
  <si>
    <t>Quinzena dos Cineastas</t>
  </si>
  <si>
    <t>Sompot Chidgasornpongse</t>
  </si>
  <si>
    <t>Kick The Machine Films</t>
  </si>
  <si>
    <t>Jonathan Ricquebourg</t>
  </si>
  <si>
    <t>Tham Kattiyakul, Jirapat Mekkrajai, Daniel Hui, Sompot Chidgasornpongse</t>
  </si>
  <si>
    <t>Amara Ramnarong, Surachai Ningsanond, Jirawut Chiwaruck, Yaneenan Jiraphatjittrin, Klaichan Phunman, Sompot Songkampol, Poon Sirapob, Yada Karnjanisakorn, Nichmon Shintadapong, Napasin Samkaewcham</t>
  </si>
  <si>
    <t>Quando uma vidente alerta que sua mãe pode morrer em breve, Sakol reúne a família para visitar nove templos budistas num único dia, na esperança de prolongar a vida dela. Espremidas numa van, três gerações atravessam a exuberante arquitetura tailandesa em meio a tensões antigas, diferenças religiosas e a saúde frágil da matriarca. Conjugando o sagrado e o cotidiano, a peregrinação se torna uma reflexão sobre fé, família e mortalidade. Exibido na Quinzena dos Cineastas do Festival de Cannes 2026 e representante da Tailândia no Oscar de 2027.</t>
  </si>
  <si>
    <t>Direção: Sompot Chidgasornpongse | Roteiro: Sompot Chidgasornpongse | Produtora: Kick The Machine Films | Fotografia: Jonathan Ricquebourg | Montagem: Tham Kattiyakul, Jirapat Mekkrajai, Daniel Hui, Sompot Chidgasornpongse | Elenco: Amara Ramnarong, Surachai Ningsanond, Jirawut Chiwaruck, Yaneenan Jiraphatjittrin, Klaichan Phunman, Sompot Songkampol, Poon Sirapob, Yada Karnjanisakorn, Nichmon Shintadapong, Napasin Samkaewcham</t>
  </si>
  <si>
    <t>058</t>
  </si>
  <si>
    <t>A Boa Filha</t>
  </si>
  <si>
    <t>Buena Hija, La</t>
  </si>
  <si>
    <t>Espanha</t>
  </si>
  <si>
    <t>Júlia de Paz Solvas</t>
  </si>
  <si>
    <t>Núria Dunjó López, Júlia de Paz Solvas</t>
  </si>
  <si>
    <t>Astra Pictures, Avalon, Krater Films</t>
  </si>
  <si>
    <t>Sergio Grobas, Stefan Schmitz</t>
  </si>
  <si>
    <t>Sandra Roca</t>
  </si>
  <si>
    <t>Oriol Milán</t>
  </si>
  <si>
    <t>Natasha Pirard</t>
  </si>
  <si>
    <t>Alea Montesinos, Clàudia Ávila, Fortún, Iona Burriel, Janet Novás, Julián Villagran, Kiara Arancibia Pinto, Marcel Sanchez, Marta Millà, Martí Ribot, Oscar Rubio, Petra Martinez, Sandra Pujol Torguet</t>
  </si>
  <si>
    <t>Após a separação dos pais, Carmela e sua mãe vão morar na casa da avó. Enquanto luta para se adaptar à nova realidade, Carmela anseia por passar mais tempo na casa do pai, um artista plástico que ela admira e idolatra. A sombra e o carisma do pai impactam a vida, as decisões e a identidade da protagonista e das mulheres de sua família, levando-as a repensarem o futuro.</t>
  </si>
  <si>
    <t>Direção: Júlia de Paz Solvas | Roteiro: Núria Dunjó López, Júlia de Paz Solvas | Produtora: Astra Pictures, Avalon, Krater Films | Produção: Sergio Grobas, Stefan Schmitz | Fotografia: Sandra Roca | Montagem: Oriol Milán | Música: Natasha Pirard | Elenco: Alea Montesinos, Clàudia Ávila, Fortún, Iona Burriel, Janet Novás, Julián Villagran, Kiara Arancibia Pinto, Marcel Sanchez, Marta Millà, Martí Ribot, Oscar Rubio, Petra Martinez, Sandra Pujol Torguet</t>
  </si>
  <si>
    <t>059</t>
  </si>
  <si>
    <t>A Caminho</t>
  </si>
  <si>
    <t>Jiuri ganeun gil</t>
  </si>
  <si>
    <t>Yoo Jaein</t>
  </si>
  <si>
    <t>Korean Academy Of Film Arts</t>
  </si>
  <si>
    <t>Kim Jihyoung</t>
  </si>
  <si>
    <t>Baek Jaeryung</t>
  </si>
  <si>
    <t>Lee Eunjoo</t>
  </si>
  <si>
    <t>Jang Jae-Hee, Jang Sun, Kim Sowan, Lee Hwawon, Lee Jiwon, Lee Ye-In, Oh Hani, Sim Subin, Yang Heung-Joo</t>
  </si>
  <si>
    <t>Na Coreia do Sul, a estudante Yun-ji engravida após uma relação secreta com seu professor casado. Quando ele desaparece misteriosamente, ela decide interromper a gravidez e roubar as economias da colega de quarto, Kyung-sun, para comprar pílulas abortivas ilegais. Furiosa, a amiga sai à sua procura, mas o conflito acaba dando origem a um vínculo inesperado. Com humor e delicadeza, este delicado filme aborda autonomia corporal, abandono e solidariedade feminina. Prêmio New Currents no Festival de Busan 2025 e selecionado para a Geração 14plus do Festival de Berlim.</t>
  </si>
  <si>
    <t>Direção: Yoo Jaein | Roteiro: Yoo Jaein | Produtora: Korean Academy Of Film Arts | Produção: Kim Jihyoung | Fotografia: Baek Jaeryung | Montagem: Yoo Jaein | Música: Lee Eunjoo | Elenco: Jang Jae-Hee, Jang Sun, Kim Sowan, Lee Hwawon, Lee Jiwon, Lee Ye-In, Oh Hani, Sim Subin, Yang Heung-Joo</t>
  </si>
  <si>
    <t>060</t>
  </si>
  <si>
    <t>https://letterboxd.com/film/the-education-of-jane-cumming/</t>
  </si>
  <si>
    <t>A Educação de Jane Cumming</t>
  </si>
  <si>
    <t>Education of Jane Cumming, The</t>
  </si>
  <si>
    <t>Alemanha, Suíça, Reino Unido</t>
  </si>
  <si>
    <t>Sophie Heldman</t>
  </si>
  <si>
    <t>Flora Nicholson, Sophie Heldman</t>
  </si>
  <si>
    <t>Heimatfilm Gmbh + Co. Kg</t>
  </si>
  <si>
    <t>Bettina Brokemper</t>
  </si>
  <si>
    <t>Kate Reid</t>
  </si>
  <si>
    <t>Isabel Meier</t>
  </si>
  <si>
    <t>Balz Bachman</t>
  </si>
  <si>
    <t>Clare Dunne, Fiona Shaw, Flora Nicholson, Mia Tharia, Sadie Shimmin</t>
  </si>
  <si>
    <t>Edimburgo, 1810. Jane Pirie e Marianne Woods abrem um internato para meninas, na esperança de construir juntas uma vida independente. Seu frágil universo é abalado pela chegada de Jane Cumming, uma adolescente mestiça criada na Índia que luta para encontrar lugar entre as colegas. À medida que afeto, ciúme e desejos não expressos confundem os limites entre elas, uma acusação desencadeia um escândalo que ameaça a reputação das professoras. Inspirado em fatos reais, o filme aborda raça, classe e sexualidade em uma sociedade dominada pelo preconceito.</t>
  </si>
  <si>
    <t>Direção: Sophie Heldman | Roteiro: Flora Nicholson, Sophie Heldman | Produtora: Heimatfilm Gmbh + Co. Kg | Produção: Bettina Brokemper | Fotografia: Kate Reid | Montagem: Isabel Meier | Música: Balz Bachman | Elenco: Clare Dunne, Fiona Shaw, Flora Nicholson, Mia Tharia, Sadie Shimmin</t>
  </si>
  <si>
    <t>061</t>
  </si>
  <si>
    <t>https://letterboxd.com/film/la-gradiva/</t>
  </si>
  <si>
    <t>A Gradiva</t>
  </si>
  <si>
    <t>Gradiva, La</t>
  </si>
  <si>
    <t>França, Itália</t>
  </si>
  <si>
    <t>Semana da Crítica – Competição</t>
  </si>
  <si>
    <t>Marine Atlan</t>
  </si>
  <si>
    <t>Marine Atlan, Anne Brouillet</t>
  </si>
  <si>
    <t>Les Films du Poisson</t>
  </si>
  <si>
    <t>Inès Daïen Dasi</t>
  </si>
  <si>
    <t>Pierre Mazoyer, Marine Atlan</t>
  </si>
  <si>
    <t>Guillaume Lillo</t>
  </si>
  <si>
    <t>Antonia Buresi, Colas Quignard, Suzanne Gerin, Mitia Capellier-Audat</t>
  </si>
  <si>
    <t>Uma turma de alunos do ensino médio viaja para Pompéia para conhecer as ruínas e os corpos petrificados pelo Vesúvio. A viagem se torna um momento único em que a energia da juventude se choca com um mundo congelado no tempo. Os desejos dos jovens começam a vir à tona com uma intensidade inesperada, levando-os a uma ruptura irreversível. Exibido na Semana da Crítica de Cannes 2026.</t>
  </si>
  <si>
    <t>Direção: Marine Atlan | Roteiro: Marine Atlan, Anne Brouillet | Produtora: Les Films du Poisson | Produção: Inès Daïen Dasi | Fotografia: Pierre Mazoyer, Marine Atlan | Montagem: Guillaume Lillo | Elenco: Antonia Buresi, Colas Quignard, Suzanne Gerin, Mitia Capellier-Audat</t>
  </si>
  <si>
    <t>062</t>
  </si>
  <si>
    <t>https://letterboxd.com/film/bearcave/</t>
  </si>
  <si>
    <t>A Gruta</t>
  </si>
  <si>
    <t>Arkoudotrypa</t>
  </si>
  <si>
    <t>Grécia + 1 país</t>
  </si>
  <si>
    <t>Grécia, Reino Unido</t>
  </si>
  <si>
    <t>Stergios Dinopoulos, Krysianna Papadakis</t>
  </si>
  <si>
    <t>Krysianna B. Papadakis, Stergios Dinopoulos</t>
  </si>
  <si>
    <t>Greek Film Centre, Pucci Productions, Pame Ligo Collective</t>
  </si>
  <si>
    <t>Emily Sky Hickin, Stergios Dinopoulos, Krysianna Papadakis, Ishan Sanjay Deshpande, Thanasis Michalopoulos, Arsinoi Pilou</t>
  </si>
  <si>
    <t>Arsinoi Pilou</t>
  </si>
  <si>
    <t>Stergios Dinopoulos, Krysianna B. Papadakis, Vaggelis Katsaros</t>
  </si>
  <si>
    <t>John Tournas</t>
  </si>
  <si>
    <t>Hara Kyriazi, Pamela Oikonomaki, Sofia Linospori, Vaso Gkougkara, Leyteris Tsatsis, Sozos Christou</t>
  </si>
  <si>
    <t>No montanhoso vilarejo de Tirna, na Grécia, a agricultora Argyro e a manicure Anneta são amigas inseparáveis desde a infância. Quando Anneta revela que está grávida e pretende ir embora com o namorado policial, Argyro, secretamente apaixonada por ela, a desafia a caminhar até a lendária Caverna do Urso. A jornada transforma a amizade das duas em um confronto com o desejo, a liberdade e os destinos que lhes foram impostos. Indicado ao Queer Lion e vencedor do Europa Cinemas Label no Festival de Cinema de Veneza 2025.</t>
  </si>
  <si>
    <t>Direção: Stergios Dinopoulos, Krysianna Papadakis | Roteiro: Krysianna B. Papadakis, Stergios Dinopoulos | Produtora: Greek Film Centre, Pucci Productions, Pame Ligo Collective | Produção: Emily Sky Hickin, Stergios Dinopoulos, Krysianna Papadakis, Ishan Sanjay Deshpande, Thanasis Michalopoulos, Arsinoi Pilou | Fotografia: Arsinoi Pilou | Montagem: Stergios Dinopoulos, Krysianna B. Papadakis, Vaggelis Katsaros | Música: John Tournas | Elenco: Hara Kyriazi, Pamela Oikonomaki, Sofia Linospori, Vaso Gkougkara, Leyteris Tsatsis, Sozos Christou</t>
  </si>
  <si>
    <t>063</t>
  </si>
  <si>
    <t>A Mais Doce</t>
  </si>
  <si>
    <t>más dulce, La</t>
  </si>
  <si>
    <t>Marrocos + 3 países</t>
  </si>
  <si>
    <t>Marrocos, França, Espanha, Bélgica</t>
  </si>
  <si>
    <t>Laïla Marrakchi</t>
  </si>
  <si>
    <t>Laïla Marrakchi, Delphine Agut, Marion Bernard</t>
  </si>
  <si>
    <t>Lumen, Atelier de Production</t>
  </si>
  <si>
    <t>Juliette Schrameck, Mathieu Verhaeghe, Thomas Verhaeghe</t>
  </si>
  <si>
    <t>Tristan Galand - Sbc</t>
  </si>
  <si>
    <t>Jean-François Elie, Nicolas Chaudeurge</t>
  </si>
  <si>
    <t>Clara de Asís</t>
  </si>
  <si>
    <t>Nisrin Erradi, Hajar Graigaa, Hind Braik, Fatima Zahra Khoulati, Itsaso Arana, Paco Mora, Mohamed Larbi Ajbar, Fran Cantos, Nando Pérez, Fatima Attif, Antonio Estrada</t>
  </si>
  <si>
    <t>Duas jovens marroquinas deixam seu país para trabalhar na colheita de morangos no sul da Espanha, mas o que seria uma chance de mudar de vida vira um pesadelo de abusos e exploração. Unidas pela dor, elas encontram forças para quebrar o silêncio. Com a ajuda de um advogado, decidem enfrentar um sistema econômico poderoso e denunciar a violência que sofrem. Um drama social forte sobre coragem, sobrevivência e a luta de mulheres imigrantes invisíveis contra a injustiça.</t>
  </si>
  <si>
    <t>Direção: Laïla Marrakchi | Roteiro: Laïla Marrakchi, Delphine Agut, Marion Bernard | Produtora: Lumen, Atelier de Production | Produção: Juliette Schrameck, Mathieu Verhaeghe, Thomas Verhaeghe | Fotografia: Tristan Galand - Sbc | Montagem: Jean-François Elie, Nicolas Chaudeurge | Música: Clara de Asís | Elenco: Nisrin Erradi, Hajar Graigaa, Hind Braik, Fatima Zahra Khoulati, Itsaso Arana, Paco Mora, Mohamed Larbi Ajbar, Fran Cantos, Nando Pérez, Fatima Attif, Antonio Estrada</t>
  </si>
  <si>
    <t>064</t>
  </si>
  <si>
    <t>A Promotora</t>
  </si>
  <si>
    <t>Staatsschutz</t>
  </si>
  <si>
    <t>Faraz Shariat</t>
  </si>
  <si>
    <t>Claudia Schaefer, Jee-Un Kim, Dr. Sun-Ju Choi</t>
  </si>
  <si>
    <t>Jünglinge Film</t>
  </si>
  <si>
    <t>Paulina Lorenz, Jorgo Narjes, Faraz Shariat</t>
  </si>
  <si>
    <t>Lotta Kilian</t>
  </si>
  <si>
    <t>Friederike Hohmuth</t>
  </si>
  <si>
    <t>Gabríel Ólafs</t>
  </si>
  <si>
    <t>Chen Emilie Yan, Julia Jentsch, Alev Irmak, Arnd Klawitter, Sebastian Urzendowsky</t>
  </si>
  <si>
    <t>Seyo Kim, jovem promotora teuto-coreana, está determinada a combater a violência da extrema-direita na Alemanha. Quando ela própria se torna alvo de um ataque racista, desafia os superiores e inicia uma investigação própria. À medida que as provas apontam para uma ampla rede neonazista, Seyo enfrenta não apenas os criminosos mas também um sistema de justiça que minimiza o extremismo e dificulta sua busca pela verdade. Vencedor do Prêmio do Público da mostra Panorama no Festival de Berlim 2026.</t>
  </si>
  <si>
    <t>Direção: Faraz Shariat | Roteiro: Claudia Schaefer, Jee-Un Kim, Dr. Sun-Ju Choi | Produtora: Jünglinge Film | Produção: Paulina Lorenz, Jorgo Narjes, Faraz Shariat | Fotografia: Lotta Kilian | Montagem: Friederike Hohmuth | Música: Gabríel Ólafs | Elenco: Chen Emilie Yan, Julia Jentsch, Alev Irmak, Arnd Klawitter, Sebastian Urzendowsky</t>
  </si>
  <si>
    <t>065</t>
  </si>
  <si>
    <t>https://letterboxd.com/film/allegro-pastell/</t>
  </si>
  <si>
    <t>Allegro Pastell</t>
  </si>
  <si>
    <t>Anna Roller</t>
  </si>
  <si>
    <t>Leif Randt</t>
  </si>
  <si>
    <t>Bayerischer Rundfunk (Br), Ard Degeto Film Gmbh, Walker + Worm</t>
  </si>
  <si>
    <t>Max Rieger, Philipp Worm</t>
  </si>
  <si>
    <t>Felix Pflieger</t>
  </si>
  <si>
    <t>Andreas Wodraschke</t>
  </si>
  <si>
    <t>Max Rieger</t>
  </si>
  <si>
    <t>Haley Louise Jones, Jannis Niewöhner, Sylvaine Faligant</t>
  </si>
  <si>
    <t>A escritora Tanja e o web designer Jerome vivem o relacionamento à distância ideal entre Berlim e Maintal. Equilibrando intimidade e independência através de mensagens e visitas, a rotina dos millennials parece perfeita. Contudo, quando completam 30 anos e uma visão concreta de futuro juntos ganha força, o equilíbrio entre liberdade e apego desaba. Eles passam a questionar se o modelo de relação que adotaram é o que realmente desejam, testando os limites do próprio amor em uma análise precisa das neuroses modernas.</t>
  </si>
  <si>
    <t>Direção: Anna Roller | Roteiro: Leif Randt | Produtora: Bayerischer Rundfunk (Br), Ard Degeto Film Gmbh, Walker + Worm | Produção: Max Rieger, Philipp Worm | Fotografia: Felix Pflieger | Montagem: Andreas Wodraschke | Música: Max Rieger | Elenco: Haley Louise Jones, Jannis Niewöhner, Sylvaine Faligant</t>
  </si>
  <si>
    <t>066</t>
  </si>
  <si>
    <t>Antes da Guerra</t>
  </si>
  <si>
    <t>Prima Della Guerra</t>
  </si>
  <si>
    <t>Tommaso Usberti</t>
  </si>
  <si>
    <t>Mir Cinematografica, L’heure D’été</t>
  </si>
  <si>
    <t>Lucas le Postec, Thibault de Gantès, Francesco Virga, Adele Dell’erario, Marco Serrecchia</t>
  </si>
  <si>
    <t>Mathieu Kauffmann</t>
  </si>
  <si>
    <t>Souliman Schelfout, Nathan Jacquard</t>
  </si>
  <si>
    <t>Piero Usberti, Luàna Bajrami, Cisky Capizzi, Sebastien Halnaut, Massimiliano Balduzzi, Dinu Corminboeuf, Giovanni Simiele, Claudia Poli, Sebastiano Amidani, Marica Pace, Giulia Rossini, Matteo Curseri, Béatrice Barichella</t>
  </si>
  <si>
    <t>Guido (23) vive em Piadena, uma cidade moldada pela agricultura industrial no Vale do Pó. Órfão de pai e adotado, obcecado por caça e sedutor habitual, ele conquistou profundo respeito em seu ambiente por meio da violência. Seu intenso encontro com Sonia, uma jovem que veio do Kosovo para visitar a família durante o verão, expõe inesperadamente todas as suas maiores fragilidades, forçando-o a escolher de forma definitiva entre seu verdadeiro amor por Sonia e todos aqueles que se opõem a isso. Exibido no Festival de Cannes 2026 na seção Cannes Première.</t>
  </si>
  <si>
    <t>Direção: Tommaso Usberti | Roteiro: Tommaso Usberti | Produtora: Mir Cinematografica, L’heure D’été | Produção: Lucas le Postec, Thibault de Gantès, Francesco Virga, Adele Dell’erario, Marco Serrecchia | Fotografia: Mathieu Kauffmann | Montagem: Souliman Schelfout, Nathan Jacquard | Elenco: Piero Usberti, Luàna Bajrami, Cisky Capizzi, Sebastien Halnaut, Massimiliano Balduzzi, Dinu Corminboeuf, Giovanni Simiele, Claudia Poli, Sebastiano Amidani, Marica Pace, Giulia Rossini, Matteo Curseri, Béatrice Barichella</t>
  </si>
  <si>
    <t>067</t>
  </si>
  <si>
    <t>As Rosas de Marrakech</t>
  </si>
  <si>
    <t>Rose di Marrakech, Le</t>
  </si>
  <si>
    <t>Itália + 2 países</t>
  </si>
  <si>
    <t>Itália, França, Marrocos</t>
  </si>
  <si>
    <t>Ginevra Elkann</t>
  </si>
  <si>
    <t>Ginevra Elkann, Babak Jalali, Chiara Barzini</t>
  </si>
  <si>
    <t>Asmara Films, Tessalit Productions, Agora Films, Rai Cinema</t>
  </si>
  <si>
    <t>Ginevra Elkann, Souad Lamriki, Fabrizio Mosca, Jean Bréhat</t>
  </si>
  <si>
    <t>Simone D'arcangelo</t>
  </si>
  <si>
    <t>Francesca Calvelli</t>
  </si>
  <si>
    <t>Fanny Ardant, Ahmed Hammoud, Boubker Fahmi, Jalila Talemsi, Nisrin Erradi</t>
  </si>
  <si>
    <t>Leila é a dedicada governanta de Madame Isabelle, proprietária de uma luxuosa propriedade em Marrakech. Sob seus cuidados, a rotina da casa preserva a ordem minuciosa de um universo aparentemente perfeito. Quando alguém do passado de Leila chega inesperadamente, porém, a tranquilidade desse microcosmo começa a se desfazer, abalando o equilíbrio que ela se esforça diariamente para manter.</t>
  </si>
  <si>
    <t>Direção: Ginevra Elkann | Roteiro: Ginevra Elkann, Babak Jalali, Chiara Barzini | Produtora: Asmara Films, Tessalit Productions, Agora Films, Rai Cinema | Produção: Ginevra Elkann, Souad Lamriki, Fabrizio Mosca, Jean Bréhat | Fotografia: Simone D'arcangelo | Montagem: Francesca Calvelli | Elenco: Fanny Ardant, Ahmed Hammoud, Boubker Fahmi, Jalila Talemsi, Nisrin Erradi</t>
  </si>
  <si>
    <t>068</t>
  </si>
  <si>
    <t>Balcânica</t>
  </si>
  <si>
    <t>Balcanica</t>
  </si>
  <si>
    <t>Itália, Sérvia, Croácia</t>
  </si>
  <si>
    <t>Giornate degli Autori</t>
  </si>
  <si>
    <t>Nicola Sorcinelli</t>
  </si>
  <si>
    <t>Nicola Sorcinelli, Andrea Brusa</t>
  </si>
  <si>
    <t>Nightswim, Wildside</t>
  </si>
  <si>
    <t>Ines Vasiljević, Stefano Sardo, Sonia Rovai, Ludovica Damiani</t>
  </si>
  <si>
    <t>Ian Degrassi</t>
  </si>
  <si>
    <t>Michele Braga</t>
  </si>
  <si>
    <t>Matilda de Angelis, Babak Karimi, Ivar Wafaei, Giovanni Toscano</t>
  </si>
  <si>
    <t>Quando a música é proibida no Afeganistão, Nazar, maestro de uma orquestra, e seu filho Jalil, tubista, são obrigados a abandonar o país. Os dois seguem pela rota dos Bálcãs rumo à Itália, na esperança de encontrar um lugar onde possam voltar a tocar. Durante a travessia, conhecem Greta, uma jovem médica italiana em sua primeira missão humanitária. O encontro coloca os três diante de escolhas que mudarão suas vidas. Estreia mundial na Giornate degli Autori do Festival de Veneza de 2026.</t>
  </si>
  <si>
    <t>Direção: Nicola Sorcinelli | Roteiro: Nicola Sorcinelli, Andrea Brusa | Produtora: Nightswim, Wildside | Produção: Ines Vasiljević, Stefano Sardo, Sonia Rovai, Ludovica Damiani | Fotografia: Damjan Radovanović | Montagem: Ian Degrassi | Música: Michele Braga | Elenco: Matilda de Angelis, Babak Karimi, Ivar Wafaei, Giovanni Toscano</t>
  </si>
  <si>
    <t>069</t>
  </si>
  <si>
    <t>https://letterboxd.com/film/benimana/</t>
  </si>
  <si>
    <t>Ben'Imana: Filhas de Deus</t>
  </si>
  <si>
    <t>Ben’Imana</t>
  </si>
  <si>
    <t>Ruanda + 4 países</t>
  </si>
  <si>
    <t>Ruanda, Gabão, França, Norue- ga, Costa do Marfim</t>
  </si>
  <si>
    <t>Marie-Clémentine Dusabe- Jambo</t>
  </si>
  <si>
    <t>Marie-Clémentine Dusabe- Jambo, Delphine Agut</t>
  </si>
  <si>
    <t>Ogweli Productions, Ejo Cine Ltd</t>
  </si>
  <si>
    <t>Samantha Biffot, Marie Epiphanie Uwayezu, Pierre-Adrien Ceccaldi, Marie-Clémentine Dusabe- Jambo</t>
  </si>
  <si>
    <t>Mostafa El Kashef</t>
  </si>
  <si>
    <t>Nadia Ben Rachid</t>
  </si>
  <si>
    <t>Igor Mabano</t>
  </si>
  <si>
    <t>Clémentine U. Nyirinkindi, Kesia Kelly Nishimwe, Arivere Kagoyire, Isabelle Kabano, Antoinette Uwamahoro, Léocadie Uwabeza, Aime Valens Tuyisenge, Hamida Uwimana, Adelite Mugabo, Clémence Murorunkwer</t>
  </si>
  <si>
    <t>Ruanda, 2012. Anos após o genocídio contra os Tutsi, julgamentos comunitários buscam justiça. Vénéranda, uma sobrevivente, lidera o diálogo entre vítimas e famílias de perpetradores, ajudando a reconstruir vidas. Mas quando descobre a gravidez inesperada de sua filha, ela é forçada a confrontar os limites de suas próprias convicções. Exibido na mostra Un Certain Regard do Festival de Cannes 2026.</t>
  </si>
  <si>
    <t>Direção: Marie-Clémentine Dusabe- Jambo | Roteiro: Marie-Clémentine Dusabe- Jambo, Delphine Agut | Produtora: Ogweli Productions, Ejo Cine Ltd | Produção: Samantha Biffot, Marie Epiphanie Uwayezu, Pierre-Adrien Ceccaldi, Marie-Clémentine Dusabe- Jambo | Fotografia: Mostafa El Kashef | Montagem: Nadia Ben Rachid | Música: Igor Mabano | Elenco: Clémentine U. Nyirinkindi, Kesia Kelly Nishimwe, Arivere Kagoyire, Isabelle Kabano, Antoinette Uwamahoro, Léocadie Uwabeza, Aime Valens Tuyisenge, Hamida Uwimana, Adelite Mugabo, Clémence Murorunkwer</t>
  </si>
  <si>
    <t>070</t>
  </si>
  <si>
    <t>Casa em Queda</t>
  </si>
  <si>
    <t>Moragheb</t>
  </si>
  <si>
    <t>Irã + 2 países</t>
  </si>
  <si>
    <t>Irã, Estados Unidos, Alemanha</t>
  </si>
  <si>
    <t>Mohsen Gharaei</t>
  </si>
  <si>
    <t>Mohsen Gharaei, Amirmohammad Abdi</t>
  </si>
  <si>
    <t>Raefilm Studios, Seven Springs Pictures</t>
  </si>
  <si>
    <t>Daya Fernandez, Milad Khosravi</t>
  </si>
  <si>
    <t>Farshad Mohammadi</t>
  </si>
  <si>
    <t>Evelyn Rack, Emad Khodabakhsh</t>
  </si>
  <si>
    <t>Max Richter</t>
  </si>
  <si>
    <t>Farhad Aslani, Laleh Marzban, Rima Raminfar, Elena Khakbazan</t>
  </si>
  <si>
    <t>Na periferia de Teerã, uma família vê sua casa ameaçada de demolição por um grande projeto de reurbanização. Rashid, o pai, é um agente penitenciário acusado de corrupção. Em meio à crise, ele descobre que Ensi, sua filha mais velha, planeja deixar o Irã para seguir a carreira de modelo. Enquanto as escavadeiras se aproximam, Rashid tenta impedir a partida da jovem, e as tensões dentro de casa conduzem a família ao limite.</t>
  </si>
  <si>
    <t>Direção: Mohsen Gharaei | Roteiro: Mohsen Gharaei, Amirmohammad Abdi | Produtora: Raefilm Studios, Seven Springs Pictures | Produção: Daya Fernandez, Milad Khosravi | Fotografia: Farshad Mohammadi | Montagem: Evelyn Rack, Emad Khodabakhsh | Música: Max Richter | Elenco: Farhad Aslani, Laleh Marzban, Rima Raminfar, Elena Khakbazan</t>
  </si>
  <si>
    <t>071</t>
  </si>
  <si>
    <t>Cassowary</t>
  </si>
  <si>
    <t>Ji Guang</t>
  </si>
  <si>
    <t>China</t>
  </si>
  <si>
    <t>Zhang Hanyi</t>
  </si>
  <si>
    <t>Ma Xiaotian</t>
  </si>
  <si>
    <t>Sou Wai Kin</t>
  </si>
  <si>
    <t>Paulie Chih-Chia Huang</t>
  </si>
  <si>
    <t>He Guofeng</t>
  </si>
  <si>
    <t>Huang Miyi, Liu Dan, Wei Ruguang, Yang Bo</t>
  </si>
  <si>
    <t>Em uma ilha isolada, Sumin, a mãe e a avó compartilham uma rotina tranquila, embora separadas por silêncios e antigas feridas. Desejando deixar o lugar, Sumin é obrigada a voltar para casa após um acontecimento inesperado. Quando um tufão atravessa a ilha e surge uma ave misteriosa capaz de devorar fogo, a busca pela criatura rompe o frágil equilíbrio familiar e conduz as três gerações por lembranças, afetos não expressos e desejos de fuga. Exibido na competição Asian New Talent do Festival de Xangai 2026.</t>
  </si>
  <si>
    <t>Direção: Zhang Hanyi | Roteiro: Zhang Hanyi | Produção: Ma Xiaotian | Fotografia: Sou Wai Kin | Montagem: Paulie Chih-Chia Huang | Música: He Guofeng | Elenco: Huang Miyi, Liu Dan, Wei Ruguang, Yang Bo</t>
  </si>
  <si>
    <t>072</t>
  </si>
  <si>
    <t>https://letterboxd.com/film/chica-checa/</t>
  </si>
  <si>
    <t>Chica Checa</t>
  </si>
  <si>
    <t>República Tcheca + 2 países</t>
  </si>
  <si>
    <t>República Tcheca, França, Eslováquia</t>
  </si>
  <si>
    <t>Šimon Holý</t>
  </si>
  <si>
    <t>Silk Films</t>
  </si>
  <si>
    <t>Alzbeta Janackova</t>
  </si>
  <si>
    <t>Jana Hojdová</t>
  </si>
  <si>
    <t>Sabina Mladenová</t>
  </si>
  <si>
    <t>Alena Doláková, Alexandra Borbély, Daniela Seemannová, Erwan Kepoa Fale, František Cech, Hana Seidlová, Jan Cina, Jitka Schneiderová, Lubomíra Sonková, Martin Hronský, Martin Talaga, Michal Černý, Miroslav Kumhala, Natalie Řehořová, Naďa Kovářová, Pavla Tomicová, Sara Venclovská, Věra Janků</t>
  </si>
  <si>
    <t>Zdena é uma viúva de meia-idade que leva uma rotina pacata como carteira em uma pequena aldeia checa. Enquanto cuida de sua mãe debilitada, ela recebe a visita do filho, Lukáš, que mora em Paris. O retorno dele desencadeia a revelação de um grande segredo: longe de casa, o jovem não trabalha em um banco, mas atua profissionalmente como a drag queen Chica Checa. O choque inicial força mãe e filho a confrontar preconceitos locais, transformando a descoberta em uma emocionante e bem-humorada jornada de aceitação e redescoberta familiar.</t>
  </si>
  <si>
    <t>Direção: Šimon Holý | Roteiro: Šimon Holý | Produtora: Silk Films | Produção: Alzbeta Janackova | Fotografia: Jana Hojdová | Montagem: Sabina Mladenová | Música: Šimon Holý | Elenco: Alena Doláková, Alexandra Borbély, Daniela Seemannová, Erwan Kepoa Fale, František Cech, Hana Seidlová, Jan Cina, Jitka Schneiderová, Lubomíra Sonková, Martin Hronský, Martin Talaga, Michal Černý, Miroslav Kumhala, Natalie Řehořová, Naďa Kovářová, Pavla Tomicová, Sara Venclovská, Věra Janků</t>
  </si>
  <si>
    <t>073</t>
  </si>
  <si>
    <t>https://letterboxd.com/film/congo-boy/</t>
  </si>
  <si>
    <t>Congo Boy</t>
  </si>
  <si>
    <t>Centro-Africana República + 3 países</t>
  </si>
  <si>
    <t>Centro-Africana República, França, Congo República Democrática, Itália</t>
  </si>
  <si>
    <t>Rafiki Fariala</t>
  </si>
  <si>
    <t>Rafiki Fariala, Tommy Baron</t>
  </si>
  <si>
    <t>Makongo Films, Karta Film, Kiripifilms, Unité</t>
  </si>
  <si>
    <t>Boris Lojkine, Elvis Sabin Ngaïbino, Daniele Incalcaterra</t>
  </si>
  <si>
    <t>Adrien Lallau</t>
  </si>
  <si>
    <t>César Simonot, Xavier Sirven</t>
  </si>
  <si>
    <t>Rafiki Fariala, Lillo Morealle</t>
  </si>
  <si>
    <t>Bradley Fiomona, Christy Djomanda Louba, Pétruche Mbomba, Rosiana Kotozia, Gloria Ambacko, Dieufera Sana, Carlos Suffisant Djihoro, David Ningando, Hubert Ngbolo</t>
  </si>
  <si>
    <t>Em Bangui, na República Centro-Africana, Robert, de 17 anos, sonha em seguir carreira na música enquanto a guerra civil devasta o país. Quando seus pais são presos, ele se vê sozinho e responsável pelos quatro irmãos mais novos. Determinado a realizar seu grande sonho, o jovem precisa conciliar a rotina da família, trabalhos ocasionais, provas escolares e apresentações musicais. O longa teve sua aguardada estreia mundial no Festival de Cannes 2026, na competição da mostra Un Certain Regard.</t>
  </si>
  <si>
    <t>Direção: Rafiki Fariala | Roteiro: Rafiki Fariala, Tommy Baron | Produtora: Makongo Films, Karta Film, Kiripifilms, Unité | Produção: Boris Lojkine, Elvis Sabin Ngaïbino, Daniele Incalcaterra | Fotografia: Adrien Lallau | Montagem: César Simonot, Xavier Sirven | Música: Rafiki Fariala, Lillo Morealle | Elenco: Bradley Fiomona, Christy Djomanda Louba, Pétruche Mbomba, Rosiana Kotozia, Gloria Ambacko, Dieufera Sana, Carlos Suffisant Djihoro, David Ningando, Hubert Ngbolo</t>
  </si>
  <si>
    <t>074</t>
  </si>
  <si>
    <t>Diya - O Preço do Sangue</t>
  </si>
  <si>
    <t>Diya</t>
  </si>
  <si>
    <t>Chade + 2 países</t>
  </si>
  <si>
    <t>Chade, França, Alemanha</t>
  </si>
  <si>
    <t>Achille Ronaimou</t>
  </si>
  <si>
    <t>Babi Pictures, Sic Productions, Artisans du Film, Film Galerie451, L'atelier</t>
  </si>
  <si>
    <t>Issa Serge Coelo, Valery du Peloux, Frieder Schlaich, Frederic Ouziel, Jacques Trabi</t>
  </si>
  <si>
    <t>Cyrille Hubert</t>
  </si>
  <si>
    <t>Guillaume Talvas</t>
  </si>
  <si>
    <t>Afrotronix</t>
  </si>
  <si>
    <t>Ferdinand Mbaissané, Moussa Zakaria Ibet, Ramada Mahamat, Youssouf Djaoro, Haikal Zakaria</t>
  </si>
  <si>
    <t>Em N'Djamena, Dane trabalha como motorista de uma ONG humanitária e leva uma vida tranquila com Delphine, sua jovem esposa, grávida de oito meses. Um instante de distração ao volante termina no atropelamento de um menino. Após certa confusão no hospital, ele é informado de que a criança morreu. A família exige a diya — o “preço do sangue”, uma compensação pelo acidente. Para reunir o valor e proteger os seus, Dane parte rumo ao deserto do norte do Chade, onde sua busca assume contornos inesperados. Prêmio de melhor ator para Ferdinand Mbaïssané no Fespaco 2025.</t>
  </si>
  <si>
    <t>Direção: Achille Ronaimou | Roteiro: Achille Ronaimou | Produtora: Babi Pictures, Sic Productions, Artisans du Film, Film Galerie451, L'atelier | Produção: Issa Serge Coelo, Valery du Peloux, Frieder Schlaich, Frederic Ouziel, Jacques Trabi | Fotografia: Cyrille Hubert | Montagem: Guillaume Talvas | Música: Afrotronix | Elenco: Ferdinand Mbaissané, Moussa Zakaria Ibet, Ramada Mahamat, Youssouf Djaoro, Haikal Zakaria</t>
  </si>
  <si>
    <t>075</t>
  </si>
  <si>
    <t>Dua - Tempos de Guerra</t>
  </si>
  <si>
    <t>Dua</t>
  </si>
  <si>
    <t>Kosovo, França, Suíça</t>
  </si>
  <si>
    <t>Blerta Basholli</t>
  </si>
  <si>
    <t>Blerta Basholli, Nicole Borgeat</t>
  </si>
  <si>
    <t>Ikonë Studio, Alva Film</t>
  </si>
  <si>
    <t>Valon Bajgora, Yll Uka</t>
  </si>
  <si>
    <t>Lucie Baudinaud, Afc</t>
  </si>
  <si>
    <t>Enis Saraçi</t>
  </si>
  <si>
    <t>Audrey Ismaël</t>
  </si>
  <si>
    <t>Pinea Matoshi, Kaona Matoshi, Yllka Gashi, Kushtrim Hoxha, Andi Bajgora, Vlera Bilalli</t>
  </si>
  <si>
    <t>Em Pristina, no fim dos anos 90, Dua tenta viver a adolescência enquanto a Guerra do Kosovo se inicia. Quando um incidente violento abala sua comunidade, a menina de 13 anos vira alvo de forte discriminação. Sua força surge ao conhecer Maki, uma jovem corajosa que lhe ensina uma forma inesperada de resistência. Exibido na Semana da Crítica do Festival de Cannes 2026.</t>
  </si>
  <si>
    <t>Direção: Blerta Basholli | Roteiro: Blerta Basholli, Nicole Borgeat | Produtora: Ikonë Studio, Alva Film | Produção: Valon Bajgora, Yll Uka | Fotografia: Lucie Baudinaud, Afc | Montagem: Enis Saraçi | Música: Audrey Ismaël | Elenco: Pinea Matoshi, Kaona Matoshi, Yllka Gashi, Kushtrim Hoxha, Andi Bajgora, Vlera Bilalli</t>
  </si>
  <si>
    <t>076</t>
  </si>
  <si>
    <t>https://letterboxd.com/film/elephants-in-the-fog/</t>
  </si>
  <si>
    <t>Elefantes na Névoa</t>
  </si>
  <si>
    <t>Tinīharū</t>
  </si>
  <si>
    <t>Nepal + 4 países</t>
  </si>
  <si>
    <t>Nepal, Alemanha, Brasil, França, Noruega</t>
  </si>
  <si>
    <t>Abinash Bikram Shah</t>
  </si>
  <si>
    <t>Abinash Bikram Shah, Abinash Bikram Shah &amp; Sandeep Bada, Sandeep Badal</t>
  </si>
  <si>
    <t>Die Gesellschaft Dgs, Underground Talkies Nepal, Les Valseurs</t>
  </si>
  <si>
    <t>Anup Poudel, Justin Pechberty, Damien Megherbi, Michael Henrichs</t>
  </si>
  <si>
    <t>Noé Bach</t>
  </si>
  <si>
    <t>Andrew Bird, Paris J. Ludwig</t>
  </si>
  <si>
    <t>Frédéric Alvarez</t>
  </si>
  <si>
    <t>Puspa Thing Lama, Sahab Din Miya, Jasmin Bishwokarma, Aliz Ghimire, Joel Gurung, Aashant Sharma, Sanjay Gupta, Umesha Pandey, Gauri Malla, Maotse Gurung</t>
  </si>
  <si>
    <t>Em uma pequena aldeia do Nepal, à beira de uma floresta onde elefantes selvagens circulam durante a noite, Pirati lidera uma comunidade Kinnar, formada por mulheres trans que construíram entre si uma família de afeto e proteção. Pirati, porém, sonha em deixar tudo para trás e partir com o homem que ama. Mas quando uma de suas “filhas” desaparece durante na ronda noturna, ela se vê obrigada a iniciar uma busca por conta própria, dividida entre o desejo de liberdade, os laços afetivos e as pressões de uma sociedade que mantém sua comunidade à margem.</t>
  </si>
  <si>
    <t>Direção: Abinash Bikram Shah | Roteiro: Abinash Bikram Shah, Abinash Bikram Shah &amp; Sandeep Bada, Sandeep Badal | Produtora: Die Gesellschaft Dgs, Underground Talkies Nepal, Les Valseurs | Produção: Anup Poudel, Justin Pechberty, Damien Megherbi, Michael Henrichs | Fotografia: Noé Bach | Montagem: Andrew Bird, Paris J. Ludwig | Música: Frédéric Alvarez | Elenco: Puspa Thing Lama, Sahab Din Miya, Jasmin Bishwokarma, Aliz Ghimire, Joel Gurung, Aashant Sharma, Sanjay Gupta, Umesha Pandey, Gauri Malla, Maotse Gurung</t>
  </si>
  <si>
    <t>077</t>
  </si>
  <si>
    <t>Em Segredo</t>
  </si>
  <si>
    <t>À voix basse</t>
  </si>
  <si>
    <t>França, Tunísia</t>
  </si>
  <si>
    <t>Leyla Bouzid</t>
  </si>
  <si>
    <t>Unité</t>
  </si>
  <si>
    <t>Caroline Nataf</t>
  </si>
  <si>
    <t>Sebastien Goepfert</t>
  </si>
  <si>
    <t>Lilian Corbeille</t>
  </si>
  <si>
    <t>Yom</t>
  </si>
  <si>
    <t>Eya Bouteraa, Feriel Chamari, Hiam Abbass, Karim Rmadi, Lassaad Jamoussi, Marion Barbeau, Salma Baccar</t>
  </si>
  <si>
    <t>Lilia volta de Paris à Tunísia para o funeral do tio, acompanhada da namorada, Alice, que fica escondida em um hotel, já que a família de Lilia nada sabe sobre sua vida amorosa. Determinada a compreender a morte repentina do tio, ela retorna a uma casa onde convivem três gerações de mulheres e na qual memórias e verdades silenciadas aos poucos vêm à tona. Uma história sobre amor, repressão e segredos familiares. Estreia mundial na competição do Festival de Berlim 2026.</t>
  </si>
  <si>
    <t>Direção: Leyla Bouzid | Roteiro: Leyla Bouzid | Produtora: Unité | Produção: Caroline Nataf | Fotografia: Sebastien Goepfert | Montagem: Lilian Corbeille | Música: Yom | Elenco: Eya Bouteraa, Feriel Chamari, Hiam Abbass, Karim Rmadi, Lassaad Jamoussi, Marion Barbeau, Salma Baccar</t>
  </si>
  <si>
    <t>078</t>
  </si>
  <si>
    <t>https://letterboxd.com/film/animol/</t>
  </si>
  <si>
    <t>Enjaulados</t>
  </si>
  <si>
    <t>Animol</t>
  </si>
  <si>
    <t>Ashley Walters</t>
  </si>
  <si>
    <t>Nick Love</t>
  </si>
  <si>
    <t>Rogue State, Sky, Film 4, Joi Productions, Snlda, Bfi</t>
  </si>
  <si>
    <t>Tom Hawkins, Joy Gharoro-Akpojotor, Nick Love, Ashley Walters</t>
  </si>
  <si>
    <t>Tasha Back</t>
  </si>
  <si>
    <t>Danielle Palemer</t>
  </si>
  <si>
    <t>Swindle</t>
  </si>
  <si>
    <t>Ryan Dean, Sekou Diaby, Sharon Duncan-Brewster, Stephen Graham, Tut Nyuot, Vladyslav Baliuk</t>
  </si>
  <si>
    <t>Encarcerado em um centro de detenção juvenil, Troy é lançado em um universo regido pela violência, pelas gangues e por rígidas hierarquias de poder. Posto à prova desde o momento em que chega, ele precisa aprender rapidamente as regras de lealdade e confiança. Um vínculo inesperado com outro jovem lhe oferece um raro momento de acolhimento, mas também o expõe a novos riscos. Enquanto sua assistente social tenta reaproximá-lo da mãe, Troy se vê cada vez mais enredado na lógica implacável da instituição. Exibido na mostra Perspectives do Festival de Berlim 2026.</t>
  </si>
  <si>
    <t>Direção: Ashley Walters | Roteiro: Nick Love | Produtora: Rogue State, Sky, Film 4, Joi Productions, Snlda, Bfi | Produção: Tom Hawkins, Joy Gharoro-Akpojotor, Nick Love, Ashley Walters | Fotografia: Tasha Back | Montagem: Danielle Palemer | Música: Swindle | Elenco: Ryan Dean, Sekou Diaby, Sharon Duncan-Brewster, Stephen Graham, Tut Nyuot, Vladyslav Baliuk</t>
  </si>
  <si>
    <t>079</t>
  </si>
  <si>
    <t>Filho da Poeira</t>
  </si>
  <si>
    <t>Dziecko z Pyłu</t>
  </si>
  <si>
    <t>Catar + 4 países</t>
  </si>
  <si>
    <t>Polônia, Suécia, Vietnã, República Tcheca, Catar</t>
  </si>
  <si>
    <t>Weronika Mliczewska</t>
  </si>
  <si>
    <t>Ya Man Studio</t>
  </si>
  <si>
    <t>Weronika Mliczewska, Bao Nguyen, Chi-Minh de Leo</t>
  </si>
  <si>
    <t>Mikael Lypinski</t>
  </si>
  <si>
    <t>Marcin Sucharski Psm, Mateusz Romaszkan</t>
  </si>
  <si>
    <t>Joaquin Garcia</t>
  </si>
  <si>
    <t>Meio século após o fim da Guerra do Vietnã, os filhos órfãos deixados por soldados americanos continuam pagando o preço de um conflito que nunca escolheram. Rejeitados e marcados pelo abandono, eles sobrevivem como fantasmas do passado. O documentário acompanha a saga dolorosa de um homem vietnamita consumido por uma obsessão: cruzar o oceano, encontrar o pai que jamais conheceu e reivindicar a identidade que lhe foi roubada. Prêmios de Melhor Documentário Internacional, Melhor Documentário Polonês e Melhor Montagem no Festival de Cracóvia 2025.</t>
  </si>
  <si>
    <t>Direção: Weronika Mliczewska | Roteiro: Weronika Mliczewska | Produtora: Ya Man Studio | Produção: Weronika Mliczewska, Bao Nguyen, Chi-Minh de Leo | Fotografia: Mikael Lypinski | Montagem: Marcin Sucharski Psm, Mateusz Romaszkan | Música: Joaquin Garcia</t>
  </si>
  <si>
    <t>080</t>
  </si>
  <si>
    <t>Flor de Fogo</t>
  </si>
  <si>
    <t>Hanabi</t>
  </si>
  <si>
    <t>Brasil + 1 país</t>
  </si>
  <si>
    <t>França, Brasil</t>
  </si>
  <si>
    <t>Ana Vaz</t>
  </si>
  <si>
    <t>Les Volcans, Tambores, A Noite</t>
  </si>
  <si>
    <t>Ana Vaz, Corinne Castel, Gustavo Pastorino</t>
  </si>
  <si>
    <t>Ana Vaz, Chaghig Arzoumanian</t>
  </si>
  <si>
    <t>Ketu</t>
  </si>
  <si>
    <t>Adaptação visceral de Diário de um Cérebro Radioativo, de Yoko Hayasuke, escrito após o tsunami e o desastre nuclear provocados pelo terremoto de Tohoku, em 2011, o filme entrelaça o relato íntimo da autora a um mosaico de histórias de sobrevivência e resistência de comunidades que parecem já estar habitando um mundo em colapso.</t>
  </si>
  <si>
    <t>Direção: Ana Vaz | Roteiro: Ana Vaz | Produtora: Les Volcans, Tambores, A Noite | Produção: Ana Vaz, Corinne Castel, Gustavo Pastorino | Fotografia: Ana Vaz | Montagem: Ana Vaz, Chaghig Arzoumanian | Música: Ketu</t>
  </si>
  <si>
    <t>081</t>
  </si>
  <si>
    <t>https://letterboxd.com/film/furies-2026/</t>
  </si>
  <si>
    <t>Furies</t>
  </si>
  <si>
    <t>Brasil, Líbano</t>
  </si>
  <si>
    <t>Rami Kodeih</t>
  </si>
  <si>
    <t>Rami Kodeih, Nora Mariana</t>
  </si>
  <si>
    <t>Nausika Films, Rt Features</t>
  </si>
  <si>
    <t>Rodrigo Teixeira, Berta Marchiori, Rami Kodeih, Nora Mariana</t>
  </si>
  <si>
    <t>Tony Kopec</t>
  </si>
  <si>
    <t>Arthur Joly</t>
  </si>
  <si>
    <t>Hasan Akil, Issam Bou Khaled, Maria Nakouzi, Rym Mroue</t>
  </si>
  <si>
    <t>Durante o colapso econômico do Líbano em 2019, uma jovem em Beirute, sem poder retirar do banco as economias para pagar a cirurgia de câncer da irmã, junta-se a um caminhoneiro e a um ex-miliciano. Juntos, eles planejam um ousado assalto noturno para reaver o que é deles de um sistema bancário corrupto. Conforme o plano avança, o perigo cresce, forçando-os a encarar o real custo da sobrevivência, da justiça e da irmandade em uma cidade à beira do abismo.</t>
  </si>
  <si>
    <t>Direção: Rami Kodeih | Roteiro: Rami Kodeih, Nora Mariana | Produtora: Nausika Films, Rt Features | Produção: Rodrigo Teixeira, Berta Marchiori, Rami Kodeih, Nora Mariana | Fotografia: Tony Kopec | Montagem: Rami Kodeih | Música: Arthur Joly | Elenco: Hasan Akil, Issam Bou Khaled, Maria Nakouzi, Rym Mroue</t>
  </si>
  <si>
    <t>082</t>
  </si>
  <si>
    <t>Garota Sem Nome</t>
  </si>
  <si>
    <t>Wu ming nü hai</t>
  </si>
  <si>
    <t>China + 1 país</t>
  </si>
  <si>
    <t>China, França</t>
  </si>
  <si>
    <t>Zou Jing</t>
  </si>
  <si>
    <t>Eagle Media, Emei Film Group, Memoria Films, Maneki Films, Pure Light Films</t>
  </si>
  <si>
    <t>Wang Yang, Didar Domehri, Cao Xi</t>
  </si>
  <si>
    <t>Liang Zhongqiang</t>
  </si>
  <si>
    <t>Zou Jing, Tina Baz</t>
  </si>
  <si>
    <t>Li Gengxi, Shen Jiani, Zu Feng, Cao Ruofan</t>
  </si>
  <si>
    <t>Da infância à vida adulta, uma jovem chinesa passa por três famílias, recebendo a cada mudança um novo nome e uma nova identidade. Marcada pelo abandono e pela sensação de não pertencimento, ela busca seu lugar no mundo e a possibilidade de amar, enquanto tenta conciliar as feridas do passado com a incerteza do futuro. Ao acompanhar sua trajetória por diferentes lares e etapas da vida, o filme desenha um retrato íntimo sobre identidade, memória e a difícil construção de um lugar que se possa chamar de seu, ecoando as consequências da política do filho único da China.</t>
  </si>
  <si>
    <t>Direção: Zou Jing | Roteiro: Zou Jing | Produtora: Eagle Media, Emei Film Group, Memoria Films, Maneki Films, Pure Light Films | Produção: Wang Yang, Didar Domehri, Cao Xi | Fotografia: Liang Zhongqiang | Montagem: Zou Jing, Tina Baz | Música: Valentin Hadjadj | Elenco: Li Gengxi, Shen Jiani, Zu Feng, Cao Ruofan</t>
  </si>
  <si>
    <t>083</t>
  </si>
  <si>
    <t>Gigantes em Chamas</t>
  </si>
  <si>
    <t>Yak Mai</t>
  </si>
  <si>
    <t>França + 3 países</t>
  </si>
  <si>
    <t>Tailândia, Singapura, França, Países Baixos</t>
  </si>
  <si>
    <t>Putthipong Aaronpheng</t>
  </si>
  <si>
    <t>Phuttiphong Aroonpheng</t>
  </si>
  <si>
    <t>Sluizer Film Productions, Diversion, 13 Little Pictures, Nord-Ouest Films</t>
  </si>
  <si>
    <t>Mai Meksawan, Bee Thiam Tan, Ola Byszuk, Anouk Sluizer</t>
  </si>
  <si>
    <t>Emo Weemhoff, Nsc</t>
  </si>
  <si>
    <t>Daniel Hui</t>
  </si>
  <si>
    <t>Christine Ott, Mathieu Gabry</t>
  </si>
  <si>
    <t>Awat Ratanapintha, Pakapol Srirongmuang, Waywiree Ittianunkul, Thanatwut Rodpai, Phunthida Phairuangkij, Teerawat Mulvilai, Gandhi Wasuvitchayagit</t>
  </si>
  <si>
    <t>Névoa tóxica misteriosa infecta o povo Karen nas montanhas da Tailândia, provocando graves lesões na pele. Fiscais florestais utilizam o surto como pretexto para incendiar os vilarejos, abrindo caminho para a criação de um parque nacional e deixando a comunidade desabrigada. Ao saber que um homem solitário da região foi capturado, uma migrante que trabalha como babá em Bangcoc abandona sua vida na cidade e leva a filha para buscar o marido desaparecido. Estreia mundial na mostra Orizzonti do Festival de Veneza (2026).</t>
  </si>
  <si>
    <t>Direção: Putthipong Aaronpheng | Roteiro: Phuttiphong Aroonpheng | Produtora: Sluizer Film Productions, Diversion, 13 Little Pictures, Nord-Ouest Films | Produção: Mai Meksawan, Bee Thiam Tan, Ola Byszuk, Anouk Sluizer | Fotografia: Emo Weemhoff, Nsc | Montagem: Daniel Hui | Música: Christine Ott, Mathieu Gabry | Elenco: Awat Ratanapintha, Pakapol Srirongmuang, Waywiree Ittianunkul, Thanatwut Rodpai, Phunthida Phairuangkij, Teerawat Mulvilai, Gandhi Wasuvitchayagit</t>
  </si>
  <si>
    <t>084</t>
  </si>
  <si>
    <t>https://letterboxd.com/film/guo-ran/</t>
  </si>
  <si>
    <t>Guo Ran: Dias de Espera</t>
  </si>
  <si>
    <t>Guo Ran</t>
  </si>
  <si>
    <t>Li Dongmei</t>
  </si>
  <si>
    <t>Leopard Film</t>
  </si>
  <si>
    <t>Qi AI</t>
  </si>
  <si>
    <t>Matthias Delvaux</t>
  </si>
  <si>
    <t>Qin Yanan</t>
  </si>
  <si>
    <t>Rebecca Li, Roy Wang, Fengyi Xing</t>
  </si>
  <si>
    <t>Yu e o namorado são jovens profissionais que dividem um pequeno apartamento. Enquanto ela atravessa o início da gravidez, ele se refugia no trabalho e em outras distrações para evitar a crise silenciosa que se instala entre os dois. Em conversas breves, gestos cotidianos e momentos de solidão, o casal percebe que a expectativa de uma nova vida não basta para aproximá-los. Um drama íntimo sobre maternidade, identidade feminina e a fragilidade dos vínculos contemporâneos. Exibido na competição Tiger do Festival de Roterdã 2025.</t>
  </si>
  <si>
    <t>Direção: Li Dongmei | Roteiro: Li Dongmei | Produtora: Leopard Film | Produção: Qi AI | Fotografia: Matthias Delvaux | Montagem: Qin Yanan | Elenco: Rebecca Li, Roy Wang, Fengyi Xing</t>
  </si>
  <si>
    <t>085</t>
  </si>
  <si>
    <t>Halima</t>
  </si>
  <si>
    <t>Marrocos</t>
  </si>
  <si>
    <t>Yassine El Idrissi</t>
  </si>
  <si>
    <t>Saffron Film Production</t>
  </si>
  <si>
    <t>Yassine El Idrissi, Rabii El Fikih</t>
  </si>
  <si>
    <t>Matteo de Angelis</t>
  </si>
  <si>
    <t>Abdlaziz Barioul, Achraf Tahiri, Benasser Amtaghri, Driss Assamadi, Khadija Amari, Mohcine Ghazali, Mustapha Chougane, Omar Beloud, Omar Hatim, Rabii El Fakih, Walid Wafi</t>
  </si>
  <si>
    <t>Halima, de 86 anos, vive de forma modesta à beira-mar coletando mexilhões com o marido. Sua rotina pacífica, contudo, esconde um segredo do passado. Anos antes, ela morava sozinha em uma casa isolada nas montanhas do Rif, no Marrocos. Quando um projeto ambiental exigiu a remoção dos moradores locais, Halima resistiu ferozmente para proteger as memórias do falecido primeiro marido. Mas a resistência ocultava uma verdade sombria: após a perda de seu gado e sem renda, ela passou a permitir que contrabandistas de haxixe usassem sua antiga casa como esconderijo.</t>
  </si>
  <si>
    <t>Direção: Yassine El Idrissi | Roteiro: Yassine El Idrissi | Produtora: Saffron Film Production | Produção: Yassine El Idrissi, Rabii El Fikih | Fotografia: Matteo de Angelis | Montagem: Yassine El Idrissi | Elenco: Abdlaziz Barioul, Achraf Tahiri, Benasser Amtaghri, Driss Assamadi, Khadija Amari, Mohcine Ghazali, Mustapha Chougane, Omar Beloud, Omar Hatim, Rabii El Fakih, Walid Wafi</t>
  </si>
  <si>
    <t>086</t>
  </si>
  <si>
    <t>https://letterboxd.com/film/identitti/</t>
  </si>
  <si>
    <t>Identitti - Quem Você Pensa que É?</t>
  </si>
  <si>
    <t>Identitti</t>
  </si>
  <si>
    <t>Randa Chahoud</t>
  </si>
  <si>
    <t>Friederike Jehn</t>
  </si>
  <si>
    <t>Razor Film, Zdf</t>
  </si>
  <si>
    <t>Gerhard Meixner, Roman Paul</t>
  </si>
  <si>
    <t>Andrew Bird</t>
  </si>
  <si>
    <t>Burak Özdemir</t>
  </si>
  <si>
    <t>Amanda Babaei Vieira, Stephanie Eidt, Sabrina Setlur, Zoe Magdalena, Saba Lou Khan, Anne Müller, Amir Nawfal, Mohamed Kanj Khamis</t>
  </si>
  <si>
    <t>Düsseldorf, 2019. Nivedita Anand, doutoranda alemã filha de pai indiano e mãe polonesa, descobre que Saraswati, sua celebrada professora de estudos pós-coloniais, é na verdade uma mulher branca que se apresenta como pessoa não branca. Quando a revelação explode nas redes sociais, a admiração dá lugar a um conflito político e íntimo. Entre apropriação cultural, cultura do cancelamento e pertencimento, Nivedita vê suas relações, convicções e a própria identidade colocadas em questão. Adaptação do romance de Mithu Sanyal.</t>
  </si>
  <si>
    <t>Direção: Randa Chahoud | Roteiro: Friederike Jehn | Produtora: Razor Film, Zdf | Produção: Gerhard Meixner, Roman Paul | Fotografia: Friederike Jehn | Montagem: Andrew Bird | Música: Burak Özdemir | Elenco: Amanda Babaei Vieira, Stephanie Eidt, Sabrina Setlur, Zoe Magdalena, Saba Lou Khan, Anne Müller, Amir Nawfal, Mohamed Kanj Khamis</t>
  </si>
  <si>
    <t>087</t>
  </si>
  <si>
    <t>In Waves</t>
  </si>
  <si>
    <t>Phuong Mai Nguyen</t>
  </si>
  <si>
    <t>Fanny Burdino, Samuel Doux</t>
  </si>
  <si>
    <t>Silex Films</t>
  </si>
  <si>
    <t>Priscilla Bertin, Judith Nora, Nick Shumaker</t>
  </si>
  <si>
    <t>Roberto Fernandez</t>
  </si>
  <si>
    <t>Oklou &amp; Rob</t>
  </si>
  <si>
    <t>Stephanie Hsu, Will Sharpe</t>
  </si>
  <si>
    <t>Na ensolarada Los Angeles, o tímido AJ conhece Kristen. Ela vive para o surfe; ele, para o skate e o desenho. A paixão entre os dois parece anunciar um futuro feliz, até que uma doença repentina muda o rumo de suas vidas. Amparados pelos amigos, pelo amor e pela ligação que constroem com o oceano, enfrentam juntos a adversidade. Adaptada do romance gráfico autobiográfico de AJ Dungo, o filme foi a primeira animação a abrir a Semana da Crítica do Festival de Cannes.</t>
  </si>
  <si>
    <t>Direção: Phuong Mai Nguyen | Roteiro: Fanny Burdino, Samuel Doux | Produtora: Silex Films | Produção: Priscilla Bertin, Judith Nora, Nick Shumaker | Montagem: Roberto Fernandez | Música: Oklou &amp; Rob | Elenco: Stephanie Hsu, Will Sharpe</t>
  </si>
  <si>
    <t>088</t>
  </si>
  <si>
    <t>https://letterboxd.com/film/ivan-hadoum/</t>
  </si>
  <si>
    <t>Iván &amp; Hadoum</t>
  </si>
  <si>
    <t>Espanha + 2 países</t>
  </si>
  <si>
    <t>Espanha, Alemanha, Bélgica</t>
  </si>
  <si>
    <t>Ian de la Rosa</t>
  </si>
  <si>
    <t>Avalon, Pecado, Vayolet Films</t>
  </si>
  <si>
    <t>Stefan Schmitz, Emilia Fort, Jose Alba, Odile-Antonio Baez, Carlotta Schiavon</t>
  </si>
  <si>
    <t>Beatriz Sastre</t>
  </si>
  <si>
    <t>Yannick Leroy</t>
  </si>
  <si>
    <t>David Ferral</t>
  </si>
  <si>
    <t>Cisco Lara, Esperanza Guardado, Hadoum Benghnidira, Herminia Loh, Hugo Rodríguez, Nicolás Montoya, Silver Chicón, Úrsula Díaz</t>
  </si>
  <si>
    <t>Nos vastos campos de estufas de tomates do sul da Espanha, Iván, um homem trans, apaixona-se por Hadoum, sua nova colega de origem marroquina. Mas, quando Iván recebe a promoção que esperava e se torna supervisor de Hadoum, a paixão entra em choque com o poder, a classe e o preconceito. Dividido entre a ambição e a solidariedade, Iván precisa decidir que tipo de homem deseja ser — e o que está disposto a sacrificar. Vencedor do Teddy de Melhor Longa-Metragem no Festival de Berlim 2026.</t>
  </si>
  <si>
    <t>Direção: Ian de la Rosa | Roteiro: Ian de la Rosa | Produtora: Avalon, Pecado, Vayolet Films | Produção: Stefan Schmitz, Emilia Fort, Jose Alba, Odile-Antonio Baez, Carlotta Schiavon | Fotografia: Beatriz Sastre | Montagem: Yannick Leroy | Música: David Ferral | Elenco: Cisco Lara, Esperanza Guardado, Hadoum Benghnidira, Herminia Loh, Hugo Rodríguez, Nicolás Montoya, Silver Chicón, Úrsula Díaz</t>
  </si>
  <si>
    <t>089</t>
  </si>
  <si>
    <t>https://letterboxd.com/film/lady-2026/</t>
  </si>
  <si>
    <t>Lady</t>
  </si>
  <si>
    <t>Nigéria + 1 país</t>
  </si>
  <si>
    <t>Nigéria, Reino Unido</t>
  </si>
  <si>
    <t>World Cinema Dramatic Competition</t>
  </si>
  <si>
    <t>Olive Nwosu</t>
  </si>
  <si>
    <t>Ossian International</t>
  </si>
  <si>
    <t>Alex Pulonin, John Giwa-Amu, Stella Nwimo</t>
  </si>
  <si>
    <t>Alana Mejia Gonzalez</t>
  </si>
  <si>
    <t>Coline Monie, Gareth C Scales</t>
  </si>
  <si>
    <t>Ollie Mayo</t>
  </si>
  <si>
    <t>Jessica Gabriel’s Ujah, Amanda Oruh, Tinuade Jemiseye Binta Ayo Mogaji, Bucci Franklin</t>
  </si>
  <si>
    <t>Uma das poucas taxistas de Lagos, na Nigéria, a independente Lady economiza cada centavo para tentar construir uma vida longe do caos da cidade. Quando Pinky, amiga de infância que trabalha como profissional do sexo, reaparece em sua vida e lhe oferece emprego como motorista de um grupo de mulheres pelas noites da cidade, Lady aceita com relutância. O julgamento inicial que faz em relação ao grupo vai aos poucos dando lugar a uma sororidade intensa e afetuosa, que a conduz ao perigo e a uma nova ideia de liberdade. Prêmio Especial do Júri para o Elenco em Sundance 2026.</t>
  </si>
  <si>
    <t>Direção: Olive Nwosu | Roteiro: Olive Nwosu | Produtora: Ossian International | Produção: Alex Pulonin, John Giwa-Amu, Stella Nwimo | Fotografia: Alana Mejia Gonzalez | Montagem: Coline Monie, Gareth C Scales | Música: Ollie Mayo | Elenco: Jessica Gabriel’s Ujah, Amanda Oruh, Tinuade Jemiseye Binta Ayo Mogaji, Bucci Franklin</t>
  </si>
  <si>
    <t>090</t>
  </si>
  <si>
    <t>https://letterboxd.com/film/lali/</t>
  </si>
  <si>
    <t>Lali: Entre os Vivos e os Mortos</t>
  </si>
  <si>
    <t>Lali</t>
  </si>
  <si>
    <t>Paquistão</t>
  </si>
  <si>
    <t>Sarmad Sultan Khoosat</t>
  </si>
  <si>
    <t>Sarmad Sultan Khoosat, Sundus Hashmi</t>
  </si>
  <si>
    <t>Khoosat Films</t>
  </si>
  <si>
    <t>Kanwal Khoosat P</t>
  </si>
  <si>
    <t>Khizer Idrees</t>
  </si>
  <si>
    <t>Saim Sadiq</t>
  </si>
  <si>
    <t>Abdullah Siddiqui</t>
  </si>
  <si>
    <t>Mamya Shajaffar, Channan Hanif, Rasti Farooq, Farazeh Syed, Mehar Bano</t>
  </si>
  <si>
    <t>Nos bairros populares de Sahiwal, Zeba e Sajawal se casam carregando feridas que não cicatrizaram. Ele vive atormentado pela insegurança e pelo medo de não corresponder às expectativas de masculinidade; ela é perseguida pela fama de trazer má sorte aos homens que ama. Entre desejo, superstição e presságios, a união assume contornos cada vez mais inquietantes, num mundo em que os mortos convivem com os vivos e o amor pode se confundir com obsessão. Exibido na mostra Panorama do Festival de Berlim 2026.</t>
  </si>
  <si>
    <t>Direção: Sarmad Sultan Khoosat | Roteiro: Sarmad Sultan Khoosat, Sundus Hashmi | Produtora: Khoosat Films | Produção: Kanwal Khoosat P | Fotografia: Khizer Idrees | Montagem: Saim Sadiq | Música: Abdullah Siddiqui | Elenco: Mamya Shajaffar, Channan Hanif, Rasti Farooq, Farazeh Syed, Mehar Bano</t>
  </si>
  <si>
    <t>091</t>
  </si>
  <si>
    <t>https://letterboxd.com/film/uhlanjululo/</t>
  </si>
  <si>
    <t>Lavanderia</t>
  </si>
  <si>
    <t>Uhlanjululo</t>
  </si>
  <si>
    <t>África do Sul + 1 país</t>
  </si>
  <si>
    <t>África do Sul, Suíça</t>
  </si>
  <si>
    <t>Zamo Mkhwanazi</t>
  </si>
  <si>
    <t>Kude Media, Akka Films</t>
  </si>
  <si>
    <t>Philippe Coeytaux, Zamo Mkhwanazi, Jim Stark</t>
  </si>
  <si>
    <t>Christine Hoffet</t>
  </si>
  <si>
    <t>Tracy September</t>
  </si>
  <si>
    <t>Tracy September, Ntobeko Sishi, Zekhethelo Zondi, Siyabonga Shibe, Bukamina Cebekhulu</t>
  </si>
  <si>
    <t>Johannesburgo, 1968. Khuthala, um jovem músico, sonha em viajar pelo mundo, mas a família espera que ele assuma a lavanderia mantida em um bairro reservado a brancos. Quando as leis do apartheid ameaçam o negócio e a segurança de todos, ele se vê dividido entre a liberdade que busca e a responsabilidade de proteger a única fonte de sustento da casa. Inspirado na história familiar da diretora, o drama observa como a opressão transforma sonhos, dever e lealdade em escolhas impossíveis. Exibido no Festival de Toronto 2025.</t>
  </si>
  <si>
    <t>Direção: Zamo Mkhwanazi | Roteiro: Zamo Mkhwanazi | Produtora: Kude Media, Akka Films | Produção: Philippe Coeytaux, Zamo Mkhwanazi, Jim Stark | Montagem: Christine Hoffet | Música: Tracy September | Elenco: Tracy September, Ntobeko Sishi, Zekhethelo Zondi, Siyabonga Shibe, Bukamina Cebekhulu</t>
  </si>
  <si>
    <t>092</t>
  </si>
  <si>
    <t>https://letterboxd.com/film/truly-naked/</t>
  </si>
  <si>
    <t>Literalmente Nu</t>
  </si>
  <si>
    <t>Truly Naked</t>
  </si>
  <si>
    <t>Países Baixos, Bélgica, França</t>
  </si>
  <si>
    <t>Muriel D’ansembourg</t>
  </si>
  <si>
    <t>Muriel D'ansembourg</t>
  </si>
  <si>
    <t>Isabella Films</t>
  </si>
  <si>
    <t>Els Vandevorst, Isabella Depeweg</t>
  </si>
  <si>
    <t>Myrthe Mosterman</t>
  </si>
  <si>
    <t>Emiel Nuninga</t>
  </si>
  <si>
    <t>Evgueni, Sacha Galperine</t>
  </si>
  <si>
    <t>Caolán O’gorman, Andrew Howard, Alessa Savage, Safiya Benaddi</t>
  </si>
  <si>
    <t>O introvertido Alec cresceu num universo familiar imerso no pequeno negócio de pornografia do pai, enxergando a vida e a sexualidade através da câmera. Quando os dois deixam Londres e se mudam para uma tranquila cidade litorânea, ele espera recomeçar a adolescência e o círculo de amizades sem revelar sua vida familiar pouco convencional. Mas o encontro com a independente Nina desafia tudo o que Alec sabe sobre desejo, vulnerabilidade e o que significa ser verdadeiramente visto. Estreia mundial na seção Perspectives do Festival de Berlim 2026.</t>
  </si>
  <si>
    <t>Direção: Muriel D’ansembourg | Roteiro: Muriel D'ansembourg | Produtora: Isabella Films | Produção: Els Vandevorst, Isabella Depeweg | Fotografia: Myrthe Mosterman | Montagem: Emiel Nuninga | Música: Evgueni, Sacha Galperine | Elenco: Caolán O’gorman, Andrew Howard, Alessa Savage, Safiya Benaddi</t>
  </si>
  <si>
    <t>093</t>
  </si>
  <si>
    <t>Madame</t>
  </si>
  <si>
    <t>Triangle d’or, Le</t>
  </si>
  <si>
    <t>Bélgica, Canadá, França</t>
  </si>
  <si>
    <t>Sessão Especial</t>
  </si>
  <si>
    <t>Hélène Rosselet-Ruiz</t>
  </si>
  <si>
    <t>Hélène Rosselet-Ruiz, Pauline Guéna</t>
  </si>
  <si>
    <t>Les Films de Pierre</t>
  </si>
  <si>
    <t>Nicolas Leclere</t>
  </si>
  <si>
    <t>David Chambille</t>
  </si>
  <si>
    <t>Suzana Pedro</t>
  </si>
  <si>
    <t>Dom la Nena</t>
  </si>
  <si>
    <t>Malou Khebizi, Soundos Mosbah, Ziad Bakri, Kassem Al Khoja</t>
  </si>
  <si>
    <t>Para garantir a sobrevivência, Laura aceita trabalhar para Souria em uma mansão no Triângulo Dourado de Paris. Instalada ali por seu amante, um rico príncipe saudita, Souria vive à espera de visitas dele. Enquanto Laura tenta se adaptar ao mundo de luxo extravagante e vigilância constante da casa, uma frágil ligação nasce entre as duas. Mas ela logo percebe que Souria corre perigo — e que a gaiola dourada pode estar se fechando sobre ambas. Estreia mundial nas Sessões Especiais de Cannes 2026.</t>
  </si>
  <si>
    <t>Direção: Hélène Rosselet-Ruiz | Roteiro: Hélène Rosselet-Ruiz, Pauline Guéna | Produtora: Les Films de Pierre | Produção: Nicolas Leclere | Fotografia: David Chambille | Montagem: Suzana Pedro | Música: Dom la Nena | Elenco: Malou Khebizi, Soundos Mosbah, Ziad Bakri, Kassem Al Khoja</t>
  </si>
  <si>
    <t>094</t>
  </si>
  <si>
    <t>Maria Vitória</t>
  </si>
  <si>
    <t>Portugal</t>
  </si>
  <si>
    <t>Mário Patrocínio</t>
  </si>
  <si>
    <t>Apm – Actions Per Minute</t>
  </si>
  <si>
    <t>Ana Pinhão Moura</t>
  </si>
  <si>
    <t>Pedro J. Márquez</t>
  </si>
  <si>
    <t>Cláudia Silvestre</t>
  </si>
  <si>
    <t>Edgar Valente, Bernardo D’addario</t>
  </si>
  <si>
    <t>Mariana Cardoso, Miguel Borges, Miguel Nunes</t>
  </si>
  <si>
    <t>Em uma aldeia remota, a jovem Maria Vitória joga em um time juvenil masculino e treina arduamente com o seu pai, Nacho, focada em tornar-se goleira de futebol profissional. O frágil equilíbrio dessa rotina desaba com o regresso inesperado de seu irmão mais velho, Bruno, que havia partido após o incêndio trágico que vitimou a mãe deles. Às vésperas da partida mais crucial da sua vida, Maria passa a confrontar a autoridade do pai, iniciando uma jornada intensa e poética de autodescoberta e libertação das sombras e do luto do passado.</t>
  </si>
  <si>
    <t>Direção: Mário Patrocínio | Roteiro: Mário Patrocínio | Produtora: Apm – Actions Per Minute | Produção: Ana Pinhão Moura | Fotografia: Pedro J. Márquez | Montagem: Cláudia Silvestre | Música: Edgar Valente, Bernardo D’addario | Elenco: Mariana Cardoso, Miguel Borges, Miguel Nunes</t>
  </si>
  <si>
    <t>095</t>
  </si>
  <si>
    <t>https://letterboxd.com/film/marie-madeleine/</t>
  </si>
  <si>
    <t>Marie Madeleine, uma mulher livre</t>
  </si>
  <si>
    <t>Marie Madeleine</t>
  </si>
  <si>
    <t>Haiti + 4 países</t>
  </si>
  <si>
    <t>Haiti, França, Bélgica, Canadá, Luxemburgo</t>
  </si>
  <si>
    <t>Gessica Généus</t>
  </si>
  <si>
    <t>Géssica Généus</t>
  </si>
  <si>
    <t>Ayizan Productions, Sanosi Productions, Stenola Productions, Bidibul Productions, Metafilms</t>
  </si>
  <si>
    <t>Jean-Marie Gigon, Géssica Généus, Anton Iffland-Stettner, Eva Kuperman, Lilian Eche, Christel Henon, Sylvain Corbeil</t>
  </si>
  <si>
    <t>Nicolas Canniccioni</t>
  </si>
  <si>
    <t>Martial Salomon</t>
  </si>
  <si>
    <t>Géssica Généus, Béonard Monteau, Mélissa Moldort, Ginou Jules, Luchue Mesidor, Gaëlle Bien-Aimé, Edouard Baptiste</t>
  </si>
  <si>
    <t>Na cidade de Jacmel, no Haiti, a prostituta Marie Madeleine vive de forma totalmente livre e marginalizada pelas regras rígidas da sociedade. Quando seus caminhos se cruzam com os de Joseph, um jovem e fervoroso crente evangélico, um laço profundamente intenso e improvável surge entre eles. À medida que a fé inabalável dele começa a vacilar, ela o atrai gradualmente para um universo de desejo, liberdade absoluta e reinvenção pessoal. Exibido no Festival de Cannes 2026 na seção Cannes Première.</t>
  </si>
  <si>
    <t>Direção: Gessica Généus | Roteiro: Géssica Généus | Produtora: Ayizan Productions, Sanosi Productions, Stenola Productions, Bidibul Productions, Metafilms | Produção: Jean-Marie Gigon, Géssica Généus, Anton Iffland-Stettner, Eva Kuperman, Lilian Eche, Christel Henon, Sylvain Corbeil | Fotografia: Nicolas Canniccioni | Montagem: Martial Salomon | Elenco: Géssica Généus, Béonard Monteau, Mélissa Moldort, Ginou Jules, Luchue Mesidor, Gaëlle Bien-Aimé, Edouard Baptiste</t>
  </si>
  <si>
    <t>096</t>
  </si>
  <si>
    <t>Mata</t>
  </si>
  <si>
    <t>Rachel Lang</t>
  </si>
  <si>
    <t>Nolita, Chevaldeuxtrois</t>
  </si>
  <si>
    <t>Jérémy Forni, Maxime Delaunay</t>
  </si>
  <si>
    <t>Romain Lacoursbas</t>
  </si>
  <si>
    <t>Sophie Vercruysse, Matthieu Jamet-Louis</t>
  </si>
  <si>
    <t>Yuksek</t>
  </si>
  <si>
    <t>Raphaël Personnaz, Eye Haidara, Joséphine Japy, Mélanie Laurent</t>
  </si>
  <si>
    <t>Ferida durante uma operação clandestina no Níger, a agente secreta francesa Mata perde o contato com o colega Antoine, capturado na emboscada. De volta à França, ela assume uma missão de contraespionagem nos Alpes e percebe indícios de uma ligação entre o novo caso e o trauma vivido na África. Assombrada pelo cativeiro de Antoine e convencida de que seus superiores escondem informações, Mata inicia uma corrida contra o tempo à margem de qualquer protocolo, arriscando perder tudo.</t>
  </si>
  <si>
    <t>Direção: Rachel Lang | Roteiro: Rachel Lang | Produtora: Nolita, Chevaldeuxtrois | Produção: Jérémy Forni, Maxime Delaunay | Fotografia: Romain Lacoursbas | Montagem: Sophie Vercruysse, Matthieu Jamet-Louis | Música: Yuksek | Elenco: Raphaël Personnaz, Eye Haidara, Joséphine Japy, Mélanie Laurent</t>
  </si>
  <si>
    <t>097</t>
  </si>
  <si>
    <t>Memória de Menina</t>
  </si>
  <si>
    <t>Mémoire de Fille</t>
  </si>
  <si>
    <t>Judith Godrèche</t>
  </si>
  <si>
    <t>Moana Films, Windy Production</t>
  </si>
  <si>
    <t>Carole Lambert, Marc Missonnier</t>
  </si>
  <si>
    <t>Joachim Philippe</t>
  </si>
  <si>
    <t>Guillaume Lauras</t>
  </si>
  <si>
    <t>Faux Amis</t>
  </si>
  <si>
    <t>Tess Barthélemy, Valérie Dréville, Victor Bonnel, Ariane Labed, Maïwène Barthélémy, Anja Verderosa, Louise Labèque, Manon Valentin, Esther Archambault, Mamadou Sidibé, Thibault Bonenfant, Lancelot Courcieras, François-Xavier Raffier, Léa Leviant, Guslagie Malanda</t>
  </si>
  <si>
    <t>A caminho de Rouen para uma sessão de autógrafos, Annie Ernaux é tomada por uma vertigem que a transporta ao verão de 1958, quando, aos 18 anos, viveu a primeira experiência sexual. Décadas depois, ela revisita a jovem que um dia foi e aquela noite cuja marca atravessaria toda a sua vida. A diretora Judith Godrèche adapta o bestseller autobiográfico da vencedora do Nobel em um filme sobre desejo, vergonha, dominação e os caminhos da memória. Exibido na mostra Un Certain Regard do Festival de Cannes 2026.</t>
  </si>
  <si>
    <t>Direção: Judith Godrèche | Roteiro: Judith Godrèche | Produtora: Moana Films, Windy Production | Produção: Carole Lambert, Marc Missonnier | Fotografia: Joachim Philippe | Montagem: Guillaume Lauras | Música: Faux Amis | Elenco: Tess Barthélemy, Valérie Dréville, Victor Bonnel, Ariane Labed, Maïwène Barthélémy, Anja Verderosa, Louise Labèque, Manon Valentin, Esther Archambault, Mamadou Sidibé, Thibault Bonenfant, Lancelot Courcieras, François-Xavier Raffier, Léa Leviant, Guslagie Malanda</t>
  </si>
  <si>
    <t>098</t>
  </si>
  <si>
    <t>https://letterboxd.com/film/the-mad-dog-of-europe/</t>
  </si>
  <si>
    <t>O Cachorro Louco da Europa</t>
  </si>
  <si>
    <t>Mad Dog of Europe, The</t>
  </si>
  <si>
    <t>França, Alemanha</t>
  </si>
  <si>
    <t>Rubika Shah</t>
  </si>
  <si>
    <t>Le Bureau Films, Heimatfilm</t>
  </si>
  <si>
    <t>Bertrand Faivre, Bettina Brokemper</t>
  </si>
  <si>
    <t>Janis Mazuch</t>
  </si>
  <si>
    <t>Aisling Brouwer</t>
  </si>
  <si>
    <t>Sydney Stern, Nick Davis, Steven J.ross, Ben Mankiewicz, Thomas Doherty</t>
  </si>
  <si>
    <t>Em 1932, Herman J. Mankiewicz, futuro roteirista de Cidadão Kane, escreveu O Cachorro Louco da Europa, um roteiro visionário sobre a ascensão de Hitler e a perseguição aos judeus. Temendo pressões diplomáticas e a perda do mercado alemão, Hollywood enterrou o projeto. Ao investigar a história desse filme jamais realizado, o documentário revela a influência nazista sobre os estúdios e questiona a responsabilidade do cinema diante do avanço do autoritarismo.</t>
  </si>
  <si>
    <t>Direção: Rubika Shah | Roteiro: Rubika Shah | Produtora: Le Bureau Films, Heimatfilm | Produção: Bertrand Faivre, Bettina Brokemper | Fotografia: Janis Mazuch | Música: Aisling Brouwer | Elenco: Sydney Stern, Nick Davis, Steven J.ross, Ben Mankiewicz, Thomas Doherty</t>
  </si>
  <si>
    <t>099</t>
  </si>
  <si>
    <t>https://letterboxd.com/film/cinlerin-dugunu/</t>
  </si>
  <si>
    <t>O Casamento de Djinn</t>
  </si>
  <si>
    <t>Cinlerin Dügünü</t>
  </si>
  <si>
    <t>Turquia</t>
  </si>
  <si>
    <t>Ferit Karahan</t>
  </si>
  <si>
    <t>Ferit Karahan Films</t>
  </si>
  <si>
    <t>Berkin Kaya, Kanat Doğramaci, Gülistan Acet Karahan, Ferit Karahan</t>
  </si>
  <si>
    <t>Serdar Özdemir</t>
  </si>
  <si>
    <t>Ferit Karahan, Marco Spoletini, Ahmet Boyacioğlu, Yusuf Ziya Kaya, Mustafa Umut Ay</t>
  </si>
  <si>
    <t>Noyan Coşarer</t>
  </si>
  <si>
    <t>Demet Özdemir, Kaan Yildirim, Sarp Bozkurt, İlhan Şen</t>
  </si>
  <si>
    <t>Quatro irmãos afastados voltam a uma remota aldeia na Anatólia para o casamento da irmã, Ceren. Conforme a celebração avança, segredos que foram guardados por gerações e outras lembranças apagadas começam a ressurgir, revelando uma maldição que paira sobre a casa ilegal onde vivem. O drama aborda o luto, o destino e a desintegração familiar. Selecionado para a mostra Platform no Festival de Toronto (TIFF) 2026.</t>
  </si>
  <si>
    <t>Direção: Ferit Karahan | Roteiro: Ferit Karahan | Produtora: Ferit Karahan Films | Produção: Berkin Kaya, Kanat Doğramaci, Gülistan Acet Karahan, Ferit Karahan | Fotografia: Serdar Özdemir | Montagem: Ferit Karahan, Marco Spoletini, Ahmet Boyacioğlu, Yusuf Ziya Kaya, Mustafa Umut Ay | Música: Noyan Coşarer | Elenco: Demet Özdemir, Kaan Yildirim, Sarp Bozkurt, İlhan Şen</t>
  </si>
  <si>
    <t>100</t>
  </si>
  <si>
    <t>https://letterboxd.com/film/laffaire-marie-claire/</t>
  </si>
  <si>
    <t>O Caso Marie-Claire</t>
  </si>
  <si>
    <t>affaire Marie-Claire, L’</t>
  </si>
  <si>
    <t>Lauriane Escaffre, Yvo Muller</t>
  </si>
  <si>
    <t>Lauriane Escafrre, Yvo Muller</t>
  </si>
  <si>
    <t>Quad</t>
  </si>
  <si>
    <t>Foucauld Barré, Nicolas Duval Adassovsky</t>
  </si>
  <si>
    <t>Aliénor Barré, Charlotte Gainsbourg, Cécile de France, Emilie Gavois-Kahn, Farida Ouchani, Florence Loiret Caille, François Perache, Grégory Gadebois, Lauriane Escaffre, Marc Barbe, Marianne Basler, Sarah Suco, Saul Escaffre Muller, Saül Benchetrit, Xavier Robic, Yvo Muller</t>
  </si>
  <si>
    <t>Novembro de 1972. Um julgamento histórico no tribunal de Bobigny mobiliza a França. Marie-Claire Chevalier, de 16 anos, é acusada de realizar um aborto ilegal. Sua mãe e as mulheres que a ajudaram também vão a julgamento. A advogada, Gisèle Halimi, assume um risco inédito: em vez de declarar suas clientes culpadas, coloca a própria lei no banco dos réus, desafiando o sistema e arriscando tudo. Estreia mundial nas Sessões Especiais de Cannes 2026.</t>
  </si>
  <si>
    <t>Direção: Lauriane Escaffre, Yvo Muller | Roteiro: Lauriane Escafrre, Yvo Muller | Produtora: Quad | Produção: Foucauld Barré, Nicolas Duval Adassovsky | Fotografia: Jean-François Hensgens | Montagem: Valérie Deseine | Elenco: Aliénor Barré, Charlotte Gainsbourg, Cécile de France, Emilie Gavois-Kahn, Farida Ouchani, Florence Loiret Caille, François Perache, Grégory Gadebois, Lauriane Escaffre, Marc Barbe, Marianne Basler, Sarah Suco, Saul Escaffre Muller, Saül Benchetrit, Xavier Robic, Yvo Muller</t>
  </si>
  <si>
    <t>101</t>
  </si>
  <si>
    <t>https://letterboxd.com/film/the-end-of-it/</t>
  </si>
  <si>
    <t>O Fim de Tudo</t>
  </si>
  <si>
    <t>End of It, The</t>
  </si>
  <si>
    <t>Espanha, Noruega, Reino Unido</t>
  </si>
  <si>
    <t>Maria Martinez Bayona</t>
  </si>
  <si>
    <t>Cobalt Films, Elation Pictures, Fasten Films, Eye Eye Pictures</t>
  </si>
  <si>
    <t>Emilie Jouffroy, Kamilla Kristiane Hodøl, Adrià Monés, Dyveke Bjørkly Graver</t>
  </si>
  <si>
    <t>Andrés Arochi Tinajero</t>
  </si>
  <si>
    <t>Paloma Peñarrubia</t>
  </si>
  <si>
    <t>Beanie Feldstein, Gael García Bernal, Noomi Rapace, Rebecca Hall</t>
  </si>
  <si>
    <t>Em um futuro próximo, o envelhecimento tem cura e a morte se tornou uma escolha. Prestes a completar 250 anos, Claire, uma artista provocadora afastada da carreira, decide que já viveu o bastante e quer morrer. Sua decisão abala o marido, a filha e sua assistente de inteligência artificial. Ao transformar a própria morte em um último gesto artístico, Claire se vê diante das contradições, dos afetos e do absurdo de estar viva. Exibido na mostra Cannes Première do Festival de Cannes 2026.</t>
  </si>
  <si>
    <t>Direção: Maria Martinez Bayona | Roteiro: Maria Martinez Bayona | Produtora: Cobalt Films, Elation Pictures, Fasten Films, Eye Eye Pictures | Produção: Emilie Jouffroy, Kamilla Kristiane Hodøl, Adrià Monés, Dyveke Bjørkly Graver | Fotografia: Andrés Arochi Tinajero | Montagem: Tania Reddin | Música: Paloma Peñarrubia | Elenco: Beanie Feldstein, Gael García Bernal, Noomi Rapace, Rebecca Hall</t>
  </si>
  <si>
    <t>102</t>
  </si>
  <si>
    <t>O Segredo de Eva</t>
  </si>
  <si>
    <t>Eva</t>
  </si>
  <si>
    <t>Emanuela Rossi</t>
  </si>
  <si>
    <t>Courier Film</t>
  </si>
  <si>
    <t>Claudio Corbucci</t>
  </si>
  <si>
    <t>Luca Bigazzi</t>
  </si>
  <si>
    <t>Davide Miele</t>
  </si>
  <si>
    <t>Pasquale Catalano</t>
  </si>
  <si>
    <t>Carol Duarte, Edoardo Pesce, Tommaso Zoppi, Antonio Gerardi, Giordano de Plano, Roberta Mattei</t>
  </si>
  <si>
    <t>Eva, uma mulher misteriosa e bela, vagueia pela cidade à caça de homens. No entanto, homens sozinhos, no entanto, não a interessam. Ela só seduz pais acompanhados de crianças pequenas, que depois acabam por segui-la e finalmente por desaparecer. Após cada abdução, Eva aparece submersa em um pequeno lago no campo, um lugar limpo e intocado. Mas o que será que ela faz com as crianças? Estranhas presenças azuis pairam no céu. Eva parece estar cumprindo uma missão.</t>
  </si>
  <si>
    <t>Direção: Emanuela Rossi | Roteiro: Emanuela Rossi | Produtora: Courier Film | Produção: Claudio Corbucci | Fotografia: Luca Bigazzi | Montagem: Davide Miele | Música: Pasquale Catalano | Elenco: Carol Duarte, Edoardo Pesce, Tommaso Zoppi, Antonio Gerardi, Giordano de Plano, Roberta Mattei</t>
  </si>
  <si>
    <t>103</t>
  </si>
  <si>
    <t>Óculos de Sol Pretos</t>
  </si>
  <si>
    <t>Pedro Ramalhete</t>
  </si>
  <si>
    <t>Ar de Filmes</t>
  </si>
  <si>
    <t>Alexandre Oliveira</t>
  </si>
  <si>
    <t>Manuel Pinho Braga</t>
  </si>
  <si>
    <t>Bruno Abib</t>
  </si>
  <si>
    <t>Henrique Gil, Jullia Valente, Vera Valdez, António Mortágua, António Pinhão Botelho, António Simão, Benjamin Barroso, Carolina Nhacocane, Catarina Rabaça, Eduardo Frazão, Inês Afonso Cardoso, Jaime Freitas, Joana Botelho, Luís Lucas, Marco Mendonça, Margarida Paias, Miguel Amorim, Pedro Marques Pereira, Rita Durão, Ângela Ramos</t>
  </si>
  <si>
    <t>Cinema, amor, ingenuidade. Um dia eles se reencontram no meio da rua: João e Clara, antigos colegas da universidade. Ele está desempregado; ela trabalha em cinema. Clara convida João para trabalhar num filme. Assim começa a história do novo boy meets girl do cinema português. Uma comédia melancólica sobre as dinâmicas da equipe de filmagem, sobre encontrar um lugar de pertencimento e sobre a força da imaginação.</t>
  </si>
  <si>
    <t>Direção: Pedro Ramalhete | Roteiro: Pedro Ramalhete | Produtora: Ar de Filmes | Produção: Alexandre Oliveira | Fotografia: Manuel Pinho Braga | Montagem: Bruno Abib | Elenco: Henrique Gil, Jullia Valente, Vera Valdez, António Mortágua, António Pinhão Botelho, António Simão, Benjamin Barroso, Carolina Nhacocane, Catarina Rabaça, Eduardo Frazão, Inês Afonso Cardoso, Jaime Freitas, Joana Botelho, Luís Lucas, Marco Mendonça, Margarida Paias, Miguel Amorim, Pedro Marques Pereira, Rita Durão, Ângela Ramos</t>
  </si>
  <si>
    <t>104</t>
  </si>
  <si>
    <t>Pai e Pai</t>
  </si>
  <si>
    <t>Father, Father</t>
  </si>
  <si>
    <t>Jake Witzenfeld</t>
  </si>
  <si>
    <t>Kat Mansoor, Ruth Cats, Jake Witzenfeld</t>
  </si>
  <si>
    <t>Khader e Aviv um casal gay muçulmano-judeu sonham em começar uma família. Em meio à alegria da gravidez, à ascensão do extremismo de extrema-direita e à propaganda de guerra, eles são forçados a enfrentar uma pergunta difícil: o que significa trazer uma criança a um mundo dilacerado pelo conflito?</t>
  </si>
  <si>
    <t>Direção: Jake Witzenfeld | Produção: Kat Mansoor, Ruth Cats, Jake Witzenfeld</t>
  </si>
  <si>
    <t>105</t>
  </si>
  <si>
    <t>https://letterboxd.com/film/paradise-2026/</t>
  </si>
  <si>
    <t>Paraíso - Entre Duas Margens</t>
  </si>
  <si>
    <t>Paradise</t>
  </si>
  <si>
    <t>Canadá + 2 países</t>
  </si>
  <si>
    <t>Canadá, França, Gana</t>
  </si>
  <si>
    <t>Jérémy Comte</t>
  </si>
  <si>
    <t>Will Niava, Jérémy Comte</t>
  </si>
  <si>
    <t>I60 Productions, Entract Studios, Ema Films, Constellation Productions</t>
  </si>
  <si>
    <t>Tim Ringuette, Anne‑marie Gélinas, Fabien Westerhoff</t>
  </si>
  <si>
    <t>Olivier Gossot</t>
  </si>
  <si>
    <t>Benjamin Kwao Delali, Daniel Atsu Hukporti Adjorble, Evelyne de la Chenelière, Joey Boivin-Desmeules, Joseph Armah Ashitey, Rockinson Diaz-Gonzalez, Émile Prénoveau</t>
  </si>
  <si>
    <t>Separados por oceanos, dois jovens têm seus destinos conectados pela ausência paterna. Em Accra, Gana, Kojo enfrenta o desaparecimento do pai pescador no mar e acaba atraído pelo submundo das gangues de rua. Enquanto isso, no gélido Quebec, Tony começa a suspeitar que o misterioso capitão de um navio de carga, que se envolveu com sua mãe, possa ser o pai que nunca conheceu. Entre segredos, perigos e intuição, as jornadas dos dois os aproximam de maneiras inesperadas.</t>
  </si>
  <si>
    <t>Direção: Jérémy Comte | Roteiro: Will Niava, Jérémy Comte | Produtora: I60 Productions, Entract Studios, Ema Films, Constellation Productions | Produção: Tim Ringuette, Anne‑marie Gélinas, Fabien Westerhoff | Fotografia: Olivier Gossot | Montagem: Jérémy Comte | Música: Valentin Hadjadj | Elenco: Benjamin Kwao Delali, Daniel Atsu Hukporti Adjorble, Evelyne de la Chenelière, Joey Boivin-Desmeules, Joseph Armah Ashitey, Rockinson Diaz-Gonzalez, Émile Prénoveau</t>
  </si>
  <si>
    <t>106</t>
  </si>
  <si>
    <t>https://letterboxd.com/film/heartworm-2026/</t>
  </si>
  <si>
    <t>Parasita do Coração</t>
  </si>
  <si>
    <t>Heartworm</t>
  </si>
  <si>
    <t>Estados Unidos, Canadá</t>
  </si>
  <si>
    <t>Miriam Louise Arens, Mitchell Arens</t>
  </si>
  <si>
    <t>Miriam Louise Arens, Mitchel Arens, Sultan Pirzhan, Flavia Amon, Nancy Foy, Melanie Ramos</t>
  </si>
  <si>
    <t>Mitchel Arens</t>
  </si>
  <si>
    <t>Anderson Alden, Joshua Hill &amp; Mitchel Arens</t>
  </si>
  <si>
    <t>Amber Gray, Juan Riedinger, Ellie Reine, Derrick Baskin, Lillias White</t>
  </si>
  <si>
    <t>Num futuro próximo, a realidade virtual tornou-se um refúgio para quem sofre. Após a morte da filha, Avena tenta impedir que sua família desapareça por completo, enquanto o marido, Mark, se entrega cada vez mais à NeuraLife, um universo de inteligência artificial que promete conforto, continuidade e fuga. Para alcançá-lo, ela atravessa uma jornada desorientadora entre memória, tecnologia e desejo, na qual realidade e simulação se confundem.</t>
  </si>
  <si>
    <t>Direção: Miriam Louise Arens, Mitchell Arens | Roteiro: Miriam Louise Arens, Mitchell Arens | Produção: Miriam Louise Arens, Mitchel Arens, Sultan Pirzhan, Flavia Amon, Nancy Foy, Melanie Ramos | Fotografia: Mitchel Arens | Música: Anderson Alden, Joshua Hill &amp; Mitchel Arens | Elenco: Amber Gray, Juan Riedinger, Ellie Reine, Derrick Baskin, Lillias White</t>
  </si>
  <si>
    <t>107</t>
  </si>
  <si>
    <t>Pequenas Grandes Coisas</t>
  </si>
  <si>
    <t>Huangyan shenghuo</t>
  </si>
  <si>
    <t>Hong Kong + 1 país</t>
  </si>
  <si>
    <t>Hong Kong, Estados Unidos</t>
  </si>
  <si>
    <t>Orizzonti</t>
  </si>
  <si>
    <t>Michelle Zhou</t>
  </si>
  <si>
    <t>Three Dots Films, Snow Island Pictures</t>
  </si>
  <si>
    <t>Chun Yu, Michelle Zhou</t>
  </si>
  <si>
    <t>Hark Xu</t>
  </si>
  <si>
    <t>Xinzhu Liu</t>
  </si>
  <si>
    <t>Gang Yu</t>
  </si>
  <si>
    <t>Cuishan Liang, Jialing Sun, Bin Yu, Ling Hu, Hai Yu</t>
  </si>
  <si>
    <t>Depois de anos nos Estados Unidos, Lei retorna a Harbin, no nordeste da China, para celebrar o Ano-Novo com a família. Incapaz de revelar seu relacionamento com Bay, a namorada que deixou nos Estados Unidos, ela leva um homem para casa e o apresenta como namorado. A chegada inesperada de Bay, porém, ameaça desfazer a encenação. Dividida entre a vida que construiu longe dali e as expectativas familiares, Lei precisa decidir até quando poderá adiar sua verdade. Estreia mundial na mostra Orizzonti do Festival de Veneza de 2026.</t>
  </si>
  <si>
    <t>Direção: Michelle Zhou | Roteiro: Michelle Zhou | Produtora: Three Dots Films, Snow Island Pictures | Produção: Chun Yu, Michelle Zhou | Fotografia: Hark Xu | Montagem: Xinzhu Liu | Música: Gang Yu | Elenco: Cuishan Liang, Jialing Sun, Bin Yu, Ling Hu, Hai Yu</t>
  </si>
  <si>
    <t>108</t>
  </si>
  <si>
    <t>https://letterboxd.com/film/vesna-2026/</t>
  </si>
  <si>
    <t>Primavera</t>
  </si>
  <si>
    <t>Vesna</t>
  </si>
  <si>
    <t>França, Lituânia, Estônia</t>
  </si>
  <si>
    <t>Rostislav Kirpičenko</t>
  </si>
  <si>
    <t>Film Jam, Matka Films</t>
  </si>
  <si>
    <t>Helena Porkony, Stasys Baltakis</t>
  </si>
  <si>
    <t>Vilius Mačiulskis</t>
  </si>
  <si>
    <t>Marie Vettese</t>
  </si>
  <si>
    <t>Sten Sheripov</t>
  </si>
  <si>
    <t>Kęstutis Cicėnas, Bartas Ždanovičius, Anastasiia Pustovit, Valentinas Novopolskis, Viečeslav Lukjanov, Daumantas Ciunis</t>
  </si>
  <si>
    <t>Em uma cidade do sudeste da Ucrânia ocupada pela Rússia, a igreja do jovem padre Andriy é transformada em necrotério para os corpos de civis ucranianos executados. Proibido de enterrá-los, ele desafia as ordens e passa a devolvê-los secretamente às famílias. Enquanto o inverno endurece o solo e a repressão se intensifica, Andriy precisa decidir até onde está disposto a levar sua resistência. Nesse percurso, cria um vínculo inesperado com Makarov, um menino de 11 anos que testemunha seus atos. Estreia mundial nas Sessões Especiais do Festival de Cannes 2026.</t>
  </si>
  <si>
    <t>Direção: Rostislav Kirpičenko | Roteiro: Rostislav Kirpičenko | Produtora: Film Jam, Matka Films | Produção: Helena Porkony, Stasys Baltakis | Fotografia: Vilius Mačiulskis | Montagem: Marie Vettese | Música: Sten Sheripov | Elenco: Kęstutis Cicėnas, Bartas Ždanovičius, Anastasiia Pustovit, Valentinas Novopolskis, Viečeslav Lukjanov, Daumantas Ciunis</t>
  </si>
  <si>
    <t>109</t>
  </si>
  <si>
    <t>https://letterboxd.com/film/where-to-2026/</t>
  </si>
  <si>
    <t>Qual o Destino?</t>
  </si>
  <si>
    <t>Where To?</t>
  </si>
  <si>
    <t>Israel + 1 país</t>
  </si>
  <si>
    <t>Israel, Alemanha</t>
  </si>
  <si>
    <t>Assaf Machnes</t>
  </si>
  <si>
    <t>Lev Cinemas, 2-Team Productions, Rogovin Brothers, Iconoclast Films</t>
  </si>
  <si>
    <t>Mohammad Babaei</t>
  </si>
  <si>
    <t>Maayane Bouhnik</t>
  </si>
  <si>
    <t>Or Lee-Tal, Shauly Melamed</t>
  </si>
  <si>
    <t>Habib Hanna Shehadeh</t>
  </si>
  <si>
    <t>Ehab Salami, Ido Tako, Milan Peschel, Rama Nasrallah, Raheeq Haj Yahia-Suleiman, Enzo Brumm, Dov Navon</t>
  </si>
  <si>
    <t>Nas noites de Berlim, o palestino Hassan, de 55 anos, transporta passageiros de Uber entre festas enquanto lida com o afastamento da filha. Quando Amir, um jovem israelense explorando sua sexualidade, entra no carro, nasce uma conexão inesperada. Ao longo de dois anos, encontros recorrentes e corações partidos aproximam os dois, levando Hassan a reconhecer no rapaz ecos de sua dor e a confrontar o passado que o fez deixar a terra natal. Estreia mundial no Festival de Berlim 2026, prêmios de melhor filme, roteiro e atuação no Festival de Jerusalém.</t>
  </si>
  <si>
    <t>Direção: Assaf Machnes | Roteiro: Assaf Machnes | Produtora: Lev Cinemas, 2-Team Productions, Rogovin Brothers, Iconoclast Films | Produção: Mohammad Babaei | Fotografia: Maayane Bouhnik | Montagem: Or Lee-Tal, Shauly Melamed | Música: Habib Hanna Shehadeh | Elenco: Ehab Salami, Ido Tako, Milan Peschel, Rama Nasrallah, Raheeq Haj Yahia-Suleiman, Enzo Brumm, Dov Navon</t>
  </si>
  <si>
    <t>110</t>
  </si>
  <si>
    <t>https://letterboxd.com/film/dear-ajayi/</t>
  </si>
  <si>
    <t>Querida Ajayi</t>
  </si>
  <si>
    <t>Dear Ajayi</t>
  </si>
  <si>
    <t>Nigéria</t>
  </si>
  <si>
    <t>Damilola Orimogunje</t>
  </si>
  <si>
    <t>Damiola Orimogunje</t>
  </si>
  <si>
    <t>209ine Films</t>
  </si>
  <si>
    <t>Damiola Orimogunje, Ajah Enene-Orimogunje, Bose Oshin</t>
  </si>
  <si>
    <t>Kc Obiajulu</t>
  </si>
  <si>
    <t>Olalekan Afolabi</t>
  </si>
  <si>
    <t>Re Olunuga, Khyam Allami</t>
  </si>
  <si>
    <t>Bimbo Akintola, Tosin Adeyemi, Lanre Hassan, William Benson, Antar Laniyan</t>
  </si>
  <si>
    <t>Na Nigéria dos anos 1990, as irmãs Ade e Titi levam vidas opostas. Ade é uma cristã devota e provedora, enquanto Titi é uma cantora independente. Quando a mãe doente passa a morar com elas, velhos ressentimentos ressurgem, forçando-as a encarar o luto, a fé e os laços frágeis da família. Selecionado para a Giornate Degli Autori do Festival de Veneza 2026.</t>
  </si>
  <si>
    <t>Direção: Damilola Orimogunje | Roteiro: Damiola Orimogunje | Produtora: 209ine Films | Produção: Damiola Orimogunje, Ajah Enene-Orimogunje, Bose Oshin | Fotografia: Kc Obiajulu | Montagem: Olalekan Afolabi | Música: Re Olunuga, Khyam Allami | Elenco: Bimbo Akintola, Tosin Adeyemi, Lanre Hassan, William Benson, Antar Laniyan</t>
  </si>
  <si>
    <t>111</t>
  </si>
  <si>
    <t>Rapsódia Fantástica</t>
  </si>
  <si>
    <t>Da Xi Yang</t>
  </si>
  <si>
    <t>Zhong Kaifeng</t>
  </si>
  <si>
    <t>Zhong Kaifeng, Wu Linfeng</t>
  </si>
  <si>
    <t>Skypeak Culture</t>
  </si>
  <si>
    <t>Wang Tianxiao, Zheng Jing</t>
  </si>
  <si>
    <t>Hao Jiayue</t>
  </si>
  <si>
    <t>Huang Bingjie</t>
  </si>
  <si>
    <t>Yin Fang, Wang Yitong, Li Xueqin, Huang Mee</t>
  </si>
  <si>
    <t>Funcionário de um supermercado, Ding Mao cozinha acidentalmente o tubarão ornamental mantido no estabelecimento. Naquela noite, encontra um anúncio sobre o desaparecimento do pai e passa a ouvir uma voz de outro mundo. Impelido por acontecimentos cada vez mais estranhos, retorna a Shenyang após 20 anos. Entre figuras excêntricas e lugares suspensos no tempo, reconstrói uma história em que memória, fantasia e realidade se confundem. Vencedor de melhor filme e melhor fotografia no Festival de Xangai 2026.</t>
  </si>
  <si>
    <t>Direção: Zhong Kaifeng | Roteiro: Zhong Kaifeng, Wu Linfeng | Produtora: Skypeak Culture | Produção: Wang Tianxiao, Zheng Jing | Fotografia: Hao Jiayue | Montagem: Huang Bingjie | Elenco: Yin Fang, Wang Yitong, Li Xueqin, Huang Mee</t>
  </si>
  <si>
    <t>112</t>
  </si>
  <si>
    <t>https://letterboxd.com/film/roya-2026/</t>
  </si>
  <si>
    <t>Roya</t>
  </si>
  <si>
    <t>Alemanha, Luxemburgo, Repú- blica Tcheca, Irã</t>
  </si>
  <si>
    <t>Mahnaz Mohammadi</t>
  </si>
  <si>
    <t>Pakfilm Gmbh, Europe Medianest, Amour Fou Luxembourg</t>
  </si>
  <si>
    <t>Farzad Pak, Kaveh Farnam, Bady Minck, Alexander Dumreicher- Ivanceanu</t>
  </si>
  <si>
    <t>Ashkan Ashkani</t>
  </si>
  <si>
    <t>Esmaeel Monsef</t>
  </si>
  <si>
    <t>Andrius Arutiunian</t>
  </si>
  <si>
    <t>Melisa Sözen, Maryam Palizban, Hamidreza Djavdan, Bacho Meburishvili</t>
  </si>
  <si>
    <t>Uma professora iraniana, presa por suas convicções políticas na prisão de Evin, em Teerã, enfrenta uma escolha: gravar uma confissão forçada para a televisão ou permanecer confinada numa cela de três metros quadrados. Sob o peso do isolamento, passado e presente perdem a ordem e trocam de lugar, conduzindo Roya entre paisagens interiores e experiências vividas. Ao acompanhar sua percepção se fragmentar, o thriller revela como o cárcere transforma identidade, memória e a frágil possibilidade de resistência. Estreia mundial na mostra Panorama do Festival de Berlim 2026.</t>
  </si>
  <si>
    <t>Direção: Mahnaz Mohammadi | Roteiro: Mahnaz Mohammadi | Produtora: Pakfilm Gmbh, Europe Medianest, Amour Fou Luxembourg | Produção: Farzad Pak, Kaveh Farnam, Bady Minck, Alexander Dumreicher- Ivanceanu | Fotografia: Ashkan Ashkani | Montagem: Esmaeel Monsef | Música: Andrius Arutiunian | Elenco: Melisa Sözen, Maryam Palizban, Hamidreza Djavdan, Bacho Meburishvili</t>
  </si>
  <si>
    <t>113</t>
  </si>
  <si>
    <t>Saída de Segurança</t>
  </si>
  <si>
    <t>Khoroug Amen</t>
  </si>
  <si>
    <t>Egito + 4 países</t>
  </si>
  <si>
    <t>Egito, Líbia, Catar, Tunísia, Alemanha</t>
  </si>
  <si>
    <t>Mohammed Hammad</t>
  </si>
  <si>
    <t>Pareidolia Productions</t>
  </si>
  <si>
    <t>Kholoud Saad, Mohammed Hammad</t>
  </si>
  <si>
    <t>Mohammed El Shaqawy</t>
  </si>
  <si>
    <t>Dina Farouk</t>
  </si>
  <si>
    <t>Marawan Walid, Noha Ahmad, Hazem Essam, Magda Mounir</t>
  </si>
  <si>
    <t>Aos 23 anos, Samaan, um cristão copta, trabalha como segurança em um edifício residencial no Cairo. Desde a infância, convive com o transtorno de estresse pós-traumático após testemunhar o assassinato do pai por um grupo terrorista fanático que perseguia cristãos na Líbia. Silencioso e introspectivo, passa as noites escrevendo e sonha publicar o primeiro romance. O encontro com Fatima, uma jovem muçulmana, abre caminho para uma amizade que desafia as barreiras erguidas pela dor e pela intolerância. Estreia mundial na mostra Panorama do Festival de Berlim 2026.</t>
  </si>
  <si>
    <t>Direção: Mohammed Hammad | Roteiro: Mohammed Hammad | Produtora: Pareidolia Productions | Produção: Kholoud Saad, Mohammed Hammad | Fotografia: Mohammed El Shaqawy | Montagem: Dina Farouk | Elenco: Marawan Walid, Noha Ahmad, Hazem Essam, Magda Mounir</t>
  </si>
  <si>
    <t>114</t>
  </si>
  <si>
    <t>https://letterboxd.com/film/santo-antonio-o-casamenteiro-de-lisboa/</t>
  </si>
  <si>
    <t>Santo António - O Casamenteiro de Lisboa</t>
  </si>
  <si>
    <t>Ruben Alves</t>
  </si>
  <si>
    <t>Fer Pérez, Ruben Alves</t>
  </si>
  <si>
    <t>São Films, Blablabla Media</t>
  </si>
  <si>
    <t>Hemi Fortes</t>
  </si>
  <si>
    <t>André Szankowski Afc, Aip</t>
  </si>
  <si>
    <t>Daniel Souza Ferreira</t>
  </si>
  <si>
    <t>Guillaume Ferran, Diogo Clemente</t>
  </si>
  <si>
    <t>Rita Blanco, Joaquim Monchique, Ana Bola, Maria Rueff, Pedro Nercessian, Maria João Bastos, Paco León, Jacqueline Corado, João Catarré, Inês Aires Pereira</t>
  </si>
  <si>
    <t>Os tradicionais Casamentos de Santo Antônio, em Lisboa, estão em decadência. Carmo e Valentim, funcionários da prefeitura que organizam a festa há mais de 25 anos, recebem um ultimato: dar algum jeito de reinventar o evento ou perder o emprego. Ameaçados por um grupo francês prestes a assumir o controle do evento, os dois decidem criar a edição mais memorável de todas. Esta vibrante comédia é uma carta de amor a Lisboa e uma celebração da comunidade, da tradição e da resistência cultural.</t>
  </si>
  <si>
    <t>Direção: Ruben Alves | Roteiro: Fer Pérez, Ruben Alves | Produtora: São Films, Blablabla Media | Produção: Hemi Fortes | Fotografia: André Szankowski Afc, Aip | Montagem: Daniel Souza Ferreira | Música: Guillaume Ferran, Diogo Clemente | Elenco: Rita Blanco, Joaquim Monchique, Ana Bola, Maria Rueff, Pedro Nercessian, Maria João Bastos, Paco León, Jacqueline Corado, João Catarré, Inês Aires Pereira</t>
  </si>
  <si>
    <t>115</t>
  </si>
  <si>
    <t>https://letterboxd.com/film/if-i-go-will-they-miss-me/</t>
  </si>
  <si>
    <t>Se Eu Partir, Vão Sentir Minha Falta?</t>
  </si>
  <si>
    <t>If I Go Will They Miss Me</t>
  </si>
  <si>
    <t>Walter Thompson-Hernández</t>
  </si>
  <si>
    <t>Walter Thompson-Hernandez</t>
  </si>
  <si>
    <t>Further Adventures, Spark Features</t>
  </si>
  <si>
    <t>Josh Peters, Saba Zerehi, Ben Stillman</t>
  </si>
  <si>
    <t>Michael Fernandez</t>
  </si>
  <si>
    <t>Walter Thompson Her- Nandez, Daysha Broadway</t>
  </si>
  <si>
    <t>Malcolm Parson</t>
  </si>
  <si>
    <t>J Alphonse Nicholson, Danielle Brooks, Bodhi Dell, Myles Bullock, Bre-Z</t>
  </si>
  <si>
    <t>Ambientado no bairro operário de Watts, em Los Angeles, o enredo acompanha Lil Ant, um garoto sensível e criativo de 12 anos que tenta desesperadamente se conectar com o pai, recém-saído da prisão. A dinâmica familiar se transforma quando o menino começa a ter visões surreais e espectrais de outros garotos vagando pela vizinhança. Essas presenças místicas flutuam como aviões sob a rota de voo do aeroporto, revelando uma profunda ligação com o legado de seu pai e as complexas raízes da ancestralidade e sobrevivência urbana.</t>
  </si>
  <si>
    <t>Direção: Walter Thompson-Hernández | Roteiro: Walter Thompson-Hernandez | Produtora: Further Adventures, Spark Features | Produção: Josh Peters, Saba Zerehi, Ben Stillman | Fotografia: Michael Fernandez | Montagem: Walter Thompson Her- Nandez, Daysha Broadway | Música: Malcolm Parson | Elenco: J Alphonse Nicholson, Danielle Brooks, Bodhi Dell, Myles Bullock, Bre-Z</t>
  </si>
  <si>
    <t>116</t>
  </si>
  <si>
    <t>https://letterboxd.com/film/serpenti/</t>
  </si>
  <si>
    <t>Serpentes</t>
  </si>
  <si>
    <t>Serpenti</t>
  </si>
  <si>
    <t>Roberto de Paolis</t>
  </si>
  <si>
    <t>Damiano D’innocenzo, Fabio D’innocenzo, Roberto de Paolis Maino</t>
  </si>
  <si>
    <t>Be Water Film, Paco Cinematografica</t>
  </si>
  <si>
    <t>Isabella Cocuzza, Arturo Paglia, Mattia Guerra</t>
  </si>
  <si>
    <t>Gianluca Rocco Palma</t>
  </si>
  <si>
    <t>Vittorio Giampietro</t>
  </si>
  <si>
    <t>Leonardo Lidi, Alessandro Borghi, Pietro Castellitto, Valeria Golino</t>
  </si>
  <si>
    <t>Paolo Marra matou a esposa sem compreender por quê. Consumido pela culpa, decide se entregar, cumprir sua pena e tentar restituir alguma dignidade à mulher que assassinou. Mas, entre policiais distraídos, advogados oportunistas, videntes e entraves burocráticos, ninguém parece levá-lo a sério. Preso num paradoxo kafkiano, Paolo descobre que, por mais que insista, não consegue ser detido. Estreia mundial na seção Venice Spotlight do Festival de Veneza de 2026.</t>
  </si>
  <si>
    <t>Direção: Roberto de Paolis | Roteiro: Damiano D’innocenzo, Fabio D’innocenzo, Roberto de Paolis Maino | Produtora: Be Water Film, Paco Cinematografica | Produção: Isabella Cocuzza, Arturo Paglia, Mattia Guerra | Fotografia: Gianluca Rocco Palma | Montagem: Paola Freddi | Música: Vittorio Giampietro | Elenco: Leonardo Lidi, Alessandro Borghi, Pietro Castellitto, Valeria Golino</t>
  </si>
  <si>
    <t>117</t>
  </si>
  <si>
    <t>Sinta-se em Casa</t>
  </si>
  <si>
    <t>Enjoy Your Stay</t>
  </si>
  <si>
    <t>Suíça + 2 países</t>
  </si>
  <si>
    <t>Suíça, França, Filipinas</t>
  </si>
  <si>
    <t>Dominik Locher</t>
  </si>
  <si>
    <t>Dominik Locher, Honeylyn Joy Alipio</t>
  </si>
  <si>
    <t>Close Up Films</t>
  </si>
  <si>
    <t>Flavia Zanon, Joëlle Bertossa</t>
  </si>
  <si>
    <t>Jeanne Lapoirie</t>
  </si>
  <si>
    <t>Diego Marx Dobles, Carmen Walker</t>
  </si>
  <si>
    <t>Mercedes Cabral, Alexis Manenti, Anna Luna, Hasmine Killip, Irma Adlawan, Donna Cariaga, Madeleine Nicolas, Agathe Hauser, Giorgia Rushton, Raphaël Tschud I</t>
  </si>
  <si>
    <t>Luz, uma trabalhadora filipina sem documentos, há anos limpa os luxuosos chalés de Verbier, nos Alpes suíços, invisível em meio à paisagem. Quando uma ameaça à guarda da filha de seis anos a faz precisar pagar dívidas e estar presente nas Filipinas para o aniversário da menina, Luz se vê diante de uma corrida contra o tempo. Sem dinheiro suficiente para cumprir a promessa, aceita trabalhar para um empregador local que explora a mão de obra migrante, se envolvendo cada vez mais num sistema que a explora e a invisibiliza. Exibido na mostra Panorama do Festival de Berlim 2026.</t>
  </si>
  <si>
    <t>Direção: Dominik Locher | Roteiro: Dominik Locher, Honeylyn Joy Alipio | Produtora: Close Up Films | Produção: Flavia Zanon, Joëlle Bertossa | Fotografia: Jeanne Lapoirie | Montagem: Diego Marx Dobles, Carmen Walker | Elenco: Mercedes Cabral, Alexis Manenti, Anna Luna, Hasmine Killip, Irma Adlawan, Donna Cariaga, Madeleine Nicolas, Agathe Hauser, Giorgia Rushton, Raphaël Tschud I</t>
  </si>
  <si>
    <t>118</t>
  </si>
  <si>
    <t>https://letterboxd.com/film/transit-times/</t>
  </si>
  <si>
    <t>Tempos de Passagem</t>
  </si>
  <si>
    <t>Transit Times</t>
  </si>
  <si>
    <t>Alemanha, Romênia, Moldávia</t>
  </si>
  <si>
    <t>Anna Felicia Scutelnicu</t>
  </si>
  <si>
    <t>Ana-Felicia Scutelnicu</t>
  </si>
  <si>
    <t>Weydemann Bros.</t>
  </si>
  <si>
    <t>Jakob D. Weydemann, Jonas Weydemann, Milena Klemke, Yvonne Mcwellie</t>
  </si>
  <si>
    <t>Javier Palicio</t>
  </si>
  <si>
    <t>Ecaterina Iaschevici, Dana Bunescu</t>
  </si>
  <si>
    <t>Alexandrina Hristov</t>
  </si>
  <si>
    <t>Marina Palii, Arina Mura, Ion Munteanu, Paulina Zavtonii, Ion Liulica, Marina Weis, Urs Remond, Artiom Oleacu, Ghenadie Moroșanu, Corina Rotaru, Dragoș Scutelnicu</t>
  </si>
  <si>
    <t>República da Moldávia, 1997. Seis anos após o colapso da União Soviética, a euforia da independência deu lugar a uma crise profunda. Zina, cenógrafa de um teatro infantil que não recebe salário há meses, tenta sustentar o marido Victor, um pintor incapaz de vender seus quadros, e Eva, a filha adolescente que sonha com a música. Enquanto amigos e vizinhos partem para o exterior, Zina decide alugar a casa da família. A escolha os lança numa jornada entre sobrevivência, perda e a promessa incerta de uma vida melhor.</t>
  </si>
  <si>
    <t>Direção: Anna Felicia Scutelnicu | Roteiro: Ana-Felicia Scutelnicu | Produtora: Weydemann Bros. | Produção: Jakob D. Weydemann, Jonas Weydemann, Milena Klemke, Yvonne Mcwellie | Fotografia: Javier Palicio | Montagem: Ecaterina Iaschevici, Dana Bunescu | Música: Alexandrina Hristov | Elenco: Marina Palii, Arina Mura, Ion Munteanu, Paulina Zavtonii, Ion Liulica, Marina Weis, Urs Remond, Artiom Oleacu, Ghenadie Moroșanu, Corina Rotaru, Dragoș Scutelnicu</t>
  </si>
  <si>
    <t>119</t>
  </si>
  <si>
    <t>https://letterboxd.com/film/a-fading-man/</t>
  </si>
  <si>
    <t>Um Homem Perdido</t>
  </si>
  <si>
    <t>Fading Man, A</t>
  </si>
  <si>
    <t>Welf Reinhart</t>
  </si>
  <si>
    <t>Tünde Sautier, Welf Reinhart</t>
  </si>
  <si>
    <t>Maverick Film, Bayerischer Rundfunk, Merki, Reinhart Film</t>
  </si>
  <si>
    <t>Tristan Bähre, Philipp Maron, Louis Merki</t>
  </si>
  <si>
    <t>Micky Graeter</t>
  </si>
  <si>
    <t>Ulrike Tortora, Welf Reinhart</t>
  </si>
  <si>
    <t>August Zirner, Dagmar Manzel, Harald Krassnitzer</t>
  </si>
  <si>
    <t>Hanne e o pastor aposentado Bernd levam um casamento feliz, acomodado numa rotina confortável — até que Kurt, ex-marido de Hanne, surge inesperadamente à porta. Acometido pela demência, Kurt não se lembra de que os dois estão divorciados há 20 anos. Ao acolhê-lo temporariamente, o casal redescobre uma leveza há muito esquecida, mas, aos poucos, a vida que compartilham começa a se desfazer. Estreou no Festival de Rotterdam de 2026.</t>
  </si>
  <si>
    <t>Direção: Welf Reinhart | Roteiro: Tünde Sautier, Welf Reinhart | Produtora: Maverick Film, Bayerischer Rundfunk, Merki, Reinhart Film | Produção: Tristan Bähre, Philipp Maron, Louis Merki | Fotografia: Micky Graeter | Montagem: Ulrike Tortora, Welf Reinhart | Elenco: August Zirner, Dagmar Manzel, Harald Krassnitzer</t>
  </si>
  <si>
    <t>120</t>
  </si>
  <si>
    <t>https://letterboxd.com/film/a-happy-family-2026/</t>
  </si>
  <si>
    <t>Uma Família Feliz</t>
  </si>
  <si>
    <t>Happy Family, A</t>
  </si>
  <si>
    <t>Suíça</t>
  </si>
  <si>
    <t>Jan-Eric Mack</t>
  </si>
  <si>
    <t>Anna Schinz, Nikita Afanasjev, Jan-Eric Mack, Eva Kienholz</t>
  </si>
  <si>
    <t>C-Films Ag</t>
  </si>
  <si>
    <t>Martin Joss, Peter Reichenbach</t>
  </si>
  <si>
    <t>Yunus Roy Imer</t>
  </si>
  <si>
    <t>Beni Fueter</t>
  </si>
  <si>
    <t>Thomas Kuratli</t>
  </si>
  <si>
    <t>Anna Schinz, Julia Jentsch, Bettina Stucky, Michael Neuenschwander, Martina Apostolova</t>
  </si>
  <si>
    <t>Niki divide o tempo entre dois empregos, mas o dinheiro que recebe não chega para sustentar a casa e os dois filhos. Quando um incêndio acontece com as crianças sozinhas em casa, elas são entregues a uma família de acolhimento e Niki é impedida de vê-las. Recusando-se a desaparecer da vida dos filhos, a mãe assume uma nova identidade para permanecer secretamente por perto, mesmo que ser descoberta possa lhe custar tudo. Prêmio de melhor atriz para Anna Schinz na competição oficial do Festival de Karlovy Vary 2026.</t>
  </si>
  <si>
    <t>Direção: Jan-Eric Mack | Roteiro: Anna Schinz, Nikita Afanasjev, Jan-Eric Mack, Eva Kienholz | Produtora: C-Films Ag | Produção: Martin Joss, Peter Reichenbach | Fotografia: Yunus Roy Imer | Montagem: Beni Fueter | Música: Thomas Kuratli | Elenco: Anna Schinz, Julia Jentsch, Bettina Stucky, Michael Neuenschwander, Martina Apostolova</t>
  </si>
  <si>
    <t>121</t>
  </si>
  <si>
    <t>https://letterboxd.com/film/ill-be-gone-in-june/</t>
  </si>
  <si>
    <t>Vou Embora em Junho</t>
  </si>
  <si>
    <t>I’ll Be Gone in June</t>
  </si>
  <si>
    <t>Alemanha, Suíça, Estados Unidos</t>
  </si>
  <si>
    <t>Katharina Rivilis</t>
  </si>
  <si>
    <t>Road Movies</t>
  </si>
  <si>
    <t>Andrea Kuehnel, Vincent Savino</t>
  </si>
  <si>
    <t>Giulia Schelhas</t>
  </si>
  <si>
    <t>Aurora Franco Vögeli</t>
  </si>
  <si>
    <t>Steve Binetti, Eliane Bründler</t>
  </si>
  <si>
    <t>Naomi Cosma, David Flores, Bianca Dumais, Rebecca Schulz</t>
  </si>
  <si>
    <t>Em 2001, Franny, uma intercambista alemã de 16 anos, chega a Las Cruces, pacata cidade no deserto do Novo México. Longe de casa, enfrenta dias constrangedores na escola, o calor sufocante e noites inquietas até que conhece Elliott, um garoto cuja tristeza silenciosa reflete a sua. Enquanto os Estados Unidos ainda absorvem o choque do 11 de Setembro, o abalo coletivo encontra eco em Franny e uma ternura inesperada começa a florescer. Estreia mundial na mostra Un Certain Regard do Festival de Cannes 2026.</t>
  </si>
  <si>
    <t>Direção: Katharina Rivilis | Roteiro: Katharina Rivilis | Produtora: Road Movies | Produção: Andrea Kuehnel, Vincent Savino | Fotografia: Giulia Schelhas | Montagem: Aurora Franco Vögeli | Música: Steve Binetti, Eliane Bründler | Elenco: Naomi Cosma, David Flores, Bianca Dumais, Rebecca Schulz</t>
  </si>
  <si>
    <t>122</t>
  </si>
  <si>
    <t>Première Latina</t>
  </si>
  <si>
    <t>A Ilusão de um Verão sem Fim</t>
  </si>
  <si>
    <t>Ilusion de un Verano sin Fin, La</t>
  </si>
  <si>
    <t>Argentina + 1 país</t>
  </si>
  <si>
    <t>Argentina, Estados Unidos</t>
  </si>
  <si>
    <t>Alessandra Sanguinetti</t>
  </si>
  <si>
    <t>Everlasting Summer</t>
  </si>
  <si>
    <t>Julia Solomonoff, Alessandra Sanguinetti</t>
  </si>
  <si>
    <t>Andrés Tambornino</t>
  </si>
  <si>
    <t>Guillermina Aranciaga, Belinda Stutz, Juana Falconet</t>
  </si>
  <si>
    <t>A obra registra a vida das primas Guillermina e Belinda ao longo de 25 anos na Pampa rural argentina. Filmada de 1999 a 2024, capta a transição da infância para a vida adulta, a maternidade e as marcas do tempo. O projeto nasceu em paralelo a fotolivros da diretora, revelando a evolução dos corpos, sonhos e do laço entre as protagonistas. Venceu o Leopardo de Ouro na seção Cineasti del Presente e o prêmio de melhor ópera prima (Swatch First Feature Award) no Festival de Locarno de 2026.</t>
  </si>
  <si>
    <t>Direção: Alessandra Sanguinetti | Produtora: Everlasting Summer | Produção: Julia Solomonoff, Alessandra Sanguinetti | Fotografia: Alessandra Sanguinetti | Montagem: Andrés Tambornino | Elenco: Guillermina Aranciaga, Belinda Stutz, Juana Falconet</t>
  </si>
  <si>
    <t>123</t>
  </si>
  <si>
    <t>As Famílias de Emi</t>
  </si>
  <si>
    <t>Emi</t>
  </si>
  <si>
    <t>Argentina, Uruguai</t>
  </si>
  <si>
    <t>Ezequiel Erriquez Mena</t>
  </si>
  <si>
    <t>Alejandro Scaravelli</t>
  </si>
  <si>
    <t>Rita Cine</t>
  </si>
  <si>
    <t>Laura Mara Tablón</t>
  </si>
  <si>
    <t>Gustavo Schiaffino</t>
  </si>
  <si>
    <t>Ezequiel Erriquez Mena, Pablo Riera</t>
  </si>
  <si>
    <t>Luciano Supervielle</t>
  </si>
  <si>
    <t>Benicio Mutti Spinetta, Sofía Palomino, Alejandro Scaravelli, Mara Bestelli, Luis Ziembrowski</t>
  </si>
  <si>
    <t>Emi, 18 anos, começa a alçar voo e afirmar sua independência, passando cada vez mais tempo longe de casa. Encontra liberdade no primeiro emprego, em uma oficina de motocicletas, onde trabalha sob a orientação de Rodolfo, mecânico rude mas paciente. Para os pais, ele pode parecer cada vez mais ausente, passando os dias na oficina, percorrendo Buenos Aires de moto e se encontrando às escondidas com o namorado. Mas Emi está movido por uma curiosidade secreta: desvendar a história de seus pais biológicos, que o entregaram para adoção ao nascer.</t>
  </si>
  <si>
    <t>Direção: Ezequiel Erriquez Mena | Roteiro: Alejandro Scaravelli | Produtora: Rita Cine | Produção: Laura Mara Tablón | Fotografia: Gustavo Schiaffino | Montagem: Ezequiel Erriquez Mena, Pablo Riera | Música: Luciano Supervielle | Elenco: Benicio Mutti Spinetta, Sofía Palomino, Alejandro Scaravelli, Mara Bestelli, Luis Ziembrowski</t>
  </si>
  <si>
    <t>124</t>
  </si>
  <si>
    <t>Cinzas na Boca</t>
  </si>
  <si>
    <t>Ceniza en la Boca</t>
  </si>
  <si>
    <t>México + 1 país</t>
  </si>
  <si>
    <t>Espanha, México</t>
  </si>
  <si>
    <t>Diego Luna</t>
  </si>
  <si>
    <t>Albia Castillo, Diego Rabasa, Diego Luna</t>
  </si>
  <si>
    <t>Perro Azul, La Corriente del Golfo, Animal de Luz Films, Inicia Films</t>
  </si>
  <si>
    <t>Inna Payan, Valérie Delpierre, Luis Salinas, Diego Rabasa</t>
  </si>
  <si>
    <t>Damian García</t>
  </si>
  <si>
    <t>Sofi Escudé (Ammac)</t>
  </si>
  <si>
    <t>Raquel García-Tomás</t>
  </si>
  <si>
    <t>Luisa Huertas, Guillermo Rios, Sergio Bautista, Benny Emmanuel, Teresa Lozano, Adriana Jacomé</t>
  </si>
  <si>
    <t>Lucila deixa o México com o irmão mais novo para se reunir em Madri com a mãe, que vive e trabalha sem documentos há oito anos para sustentá-los. O sonho de uma vida melhor logo dá lugar a uma realidade amarga e sufocante, marcada pela precariedade e pelas feridas da longa separação. Determinada a construir um futuro possível, a jovem tenta encontrar seu lugar e refazer os vínculos familiares. Adaptado do romance de Brenda Navarro. Estreia mundial nas Sessões Especiais do Festival de Cannes 2026.</t>
  </si>
  <si>
    <t>Direção: Diego Luna | Roteiro: Albia Castillo, Diego Rabasa, Diego Luna | Produtora: Perro Azul, La Corriente del Golfo, Animal de Luz Films, Inicia Films | Produção: Inna Payan, Valérie Delpierre, Luis Salinas, Diego Rabasa | Fotografia: Damian García | Montagem: Sofi Escudé (Ammac) | Música: Raquel García-Tomás | Elenco: Luisa Huertas, Guillermo Rios, Sergio Bautista, Benny Emmanuel, Teresa Lozano, Adriana Jacomé</t>
  </si>
  <si>
    <t>125</t>
  </si>
  <si>
    <t>Depois de Elena</t>
  </si>
  <si>
    <t>Después de Elena</t>
  </si>
  <si>
    <t>Chile + 2 países</t>
  </si>
  <si>
    <t>Chile, Colômbia, Itália</t>
  </si>
  <si>
    <t>Shawn Garry</t>
  </si>
  <si>
    <t>Bernardo Quesney, Shawn Garry, Carla Stagno</t>
  </si>
  <si>
    <t>Cine Matriz</t>
  </si>
  <si>
    <t>Gabriela Isabel Sandoval, Shawn Garry</t>
  </si>
  <si>
    <t>Pau Monrás</t>
  </si>
  <si>
    <t>Esteban Muñoz, Fernando Epstein</t>
  </si>
  <si>
    <t>Giorgio Giampà, Marta Lucchesini</t>
  </si>
  <si>
    <t>Alfredo Castro, Carola Varleta, Nicolás Zárate, Catalina Saavedra, Guilherme Sepúlveda</t>
  </si>
  <si>
    <t>Após a morte da mulher que mantinha a família unida, Roberto, um viúvo de 70 anos apegado à ordem e à rotina, volta a dividir a casa com os três filhos adultos. Cada um retorna com fracassos, segredos e uma maneira diferente de viver o luto. Forçados a conviver, percebem que sua verdadeira herança não é material, mas feita dos silêncios, culpas e afetos não expressos que moldaram suas vidas. Entre conflitos, situações absurdas e gestos de ternura, precisam reaprender a ser uma família. Estreia mundial no Festival de Toronto 2026.</t>
  </si>
  <si>
    <t>Direção: Shawn Garry | Roteiro: Bernardo Quesney, Shawn Garry, Carla Stagno | Produtora: Cine Matriz | Produção: Gabriela Isabel Sandoval, Shawn Garry | Fotografia: Pau Monrás | Montagem: Esteban Muñoz, Fernando Epstein | Música: Giorgio Giampà, Marta Lucchesini | Elenco: Alfredo Castro, Carola Varleta, Nicolás Zárate, Catalina Saavedra, Guilherme Sepúlveda</t>
  </si>
  <si>
    <t>126</t>
  </si>
  <si>
    <t>https://letterboxd.com/film/glaxo/</t>
  </si>
  <si>
    <t>Glaxo</t>
  </si>
  <si>
    <t>Juan Pablo Sallato</t>
  </si>
  <si>
    <t>Luis Emilio Guzmán</t>
  </si>
  <si>
    <t>Villano, Caravan</t>
  </si>
  <si>
    <t>Juan Ignacio Sabatini, Juan Pablo Sallato</t>
  </si>
  <si>
    <t>Diego Pequeño</t>
  </si>
  <si>
    <t>Valeria Hernández, Sebastián Brahm</t>
  </si>
  <si>
    <t>Alberto Michelli, Matteo Marrella</t>
  </si>
  <si>
    <t>Aron Hernández, Aron Hernández, Boris Quercia, Catalina Stuardo, Francisco Carrasco, Juan Cano, Marcial Tagle, Nicolás Zárate</t>
  </si>
  <si>
    <t>Em uma cidade do interior onde fica uma fábrica da Glaxo, a vida de quatro amigos desmorona depois que um policial aposentado e sua sedutora esposa se mudam para lá. A chegada deles desencadeia paixão e vingança durante as décadas de transformação da Argentina, dos anos 50 aos anos 80.</t>
  </si>
  <si>
    <t>Direção: Juan Pablo Sallato | Roteiro: Luis Emilio Guzmán | Produtora: Villano, Caravan | Produção: Juan Ignacio Sabatini, Juan Pablo Sallato | Fotografia: Diego Pequeño | Montagem: Valeria Hernández, Sebastián Brahm | Música: Alberto Michelli, Matteo Marrella | Elenco: Aron Hernández, Aron Hernández, Boris Quercia, Catalina Stuardo, Francisco Carrasco, Juan Cano, Marcial Tagle, Nicolás Zárate</t>
  </si>
  <si>
    <t>127</t>
  </si>
  <si>
    <t>Iluminada</t>
  </si>
  <si>
    <t>Bélgica</t>
  </si>
  <si>
    <t>Nicolás Rincón Gille</t>
  </si>
  <si>
    <t>Nicolás Rincón Gille</t>
  </si>
  <si>
    <t>The Blue Raincoat, Voa Films</t>
  </si>
  <si>
    <t>Maron Coubia, Jérémy van Der Haegen, Nicolás Rincón Gille, Tom Durand-Bonnard</t>
  </si>
  <si>
    <t>Thomas Schira</t>
  </si>
  <si>
    <t>Danellis Zapata, Héctor Obando, Miller Asprilla, Nelly Ulloa, María Cenobia Mosquera, Valentina Lagarejo, Pedro Suárez, Daira Quiñones</t>
  </si>
  <si>
    <t>Uma jovem afro-colombiana da periferia de Bogotá é assombrada por visões recorrentes, que tenta decifrar em diários íntimos. Seus escritos formam uma poesia que ninguém mais escuta, enquanto a rotina de sobrevivência lhe nega tempo e espaço. O encontro com Juan parece abrir outro mundo, mas a aproximação desperta a resistência daqueles que controlam o bairro. Vencedor do Grande Prêmio do Júri no Festival de Xangai 2026.</t>
  </si>
  <si>
    <t>Direção: Nicolás Rincón Gille | Roteiro: Nicolás Rincón Gille | Produtora: The Blue Raincoat, Voa Films | Produção: Maron Coubia, Jérémy van Der Haegen, Nicolás Rincón Gille, Tom Durand-Bonnard | Fotografia: Thomas Schira | Elenco: Danellis Zapata, Héctor Obando, Miller Asprilla, Nelly Ulloa, María Cenobia Mosquera, Valentina Lagarejo, Pedro Suárez, Daira Quiñones</t>
  </si>
  <si>
    <t>128</t>
  </si>
  <si>
    <t>https://letterboxd.com/film/jaripeo/</t>
  </si>
  <si>
    <t>Jaripeo</t>
  </si>
  <si>
    <t>Estados Unidos + 2 países</t>
  </si>
  <si>
    <t>México, Estados Unidos, França</t>
  </si>
  <si>
    <t>NEXT</t>
  </si>
  <si>
    <t>Efraín Mojica, Rebecca Zweig</t>
  </si>
  <si>
    <t>Arte, Survivance, Terminal Film</t>
  </si>
  <si>
    <t>Sarah Strunin, Jun Stinson Yamagishi</t>
  </si>
  <si>
    <t>Gerardo Guerra</t>
  </si>
  <si>
    <t>Analía Goethals</t>
  </si>
  <si>
    <t>Martón Móra, Emilia Ezeta</t>
  </si>
  <si>
    <t>Joseph Cerda Beñales, Noé Margarito Zaragoza</t>
  </si>
  <si>
    <t>Em Penjamillo, Michoacán, o rodeio natalino desperta a nostalgia daqueles que retornam dos Estados Unidos e reafirma os códigos masculinos da sociedade rural mexicana. Entre montarias e celebrações, os olhares, toques e encontros clandestinos descortinam desejos que desafiam o machismo local. Com imagens em Super-8, memórias encenadas e registros em estilo vérité, Efraín acompanha os vaqueiros Noé e Joseph enquanto mergulha no próprio passado em busca das feridas, da beleza e dos afetos de um lar deixado para trás.</t>
  </si>
  <si>
    <t>Direção: Efraín Mojica, Rebecca Zweig | Produtora: Arte, Survivance, Terminal Film | Produção: Sarah Strunin, Jun Stinson Yamagishi | Fotografia: Gerardo Guerra | Montagem: Analía Goethals | Música: Martón Móra, Emilia Ezeta | Elenco: Joseph Cerda Beñales, Noé Margarito Zaragoza</t>
  </si>
  <si>
    <t>129</t>
  </si>
  <si>
    <t>https://letterboxd.com/film/la-perra/</t>
  </si>
  <si>
    <t>La Perra</t>
  </si>
  <si>
    <t>Perra, La</t>
  </si>
  <si>
    <t>Brasil, Chile</t>
  </si>
  <si>
    <t>Dominga Sotomayor</t>
  </si>
  <si>
    <t>Inés Bortagaray</t>
  </si>
  <si>
    <t>Planta, Rt Features</t>
  </si>
  <si>
    <t>Rodrigo Teixeira, Fernando Bascuñán, Berta Marchiori</t>
  </si>
  <si>
    <t>Simone D’arcangelo</t>
  </si>
  <si>
    <t>Federico Rotstein</t>
  </si>
  <si>
    <t>Clint Mansell</t>
  </si>
  <si>
    <t>Manuela Oyarzún, Selton Mello, Paula Dinamarca, David Gaete, Paula Luchsinger, Rafaella Grimberg</t>
  </si>
  <si>
    <t>Em uma ilha remota no sul do Chile, Silvia leva uma vida solitária trabalhando na coleta de algas. Ao resgatar uma cadela abandonada, ela a chama de Yuri, nome que havia escolhido para a filha que nunca teve. O vínculo entre as duas desperta um desejo de maternidade há muito reprimido, mas o súbito desaparecimento de Yuri obriga Silvia a confrontar um trauma de infância que nunca verdadeiramente deixou para trás. Exibido na Quinzena dos Cineastas de Cannes 2026, marcando a estreia do ator Selton Mello no festival e onde Yuri recebeu o Palm Dog.</t>
  </si>
  <si>
    <t>Direção: Dominga Sotomayor | Roteiro: Inés Bortagaray | Produtora: Planta, Rt Features | Produção: Rodrigo Teixeira, Fernando Bascuñán, Berta Marchiori | Fotografia: Simone D’arcangelo | Montagem: Federico Rotstein | Música: Clint Mansell | Elenco: Manuela Oyarzún, Selton Mello, Paula Dinamarca, David Gaete, Paula Luchsinger, Rafaella Grimberg</t>
  </si>
  <si>
    <t>130</t>
  </si>
  <si>
    <t>https://letterboxd.com/film/matapanki/</t>
  </si>
  <si>
    <t>Matapanki</t>
  </si>
  <si>
    <t>Chile</t>
  </si>
  <si>
    <t>Diego "Mapache" Fuentes</t>
  </si>
  <si>
    <t>Cine Udd</t>
  </si>
  <si>
    <t>Tomás Santelices</t>
  </si>
  <si>
    <t>Vicente Correa</t>
  </si>
  <si>
    <t>Lleyton Monteverde</t>
  </si>
  <si>
    <t>Ian Strika, Cristian Freund, Gianlucca Aste</t>
  </si>
  <si>
    <t>Ramon Gavéz, Diego Bravo, Antonia Mccarthy</t>
  </si>
  <si>
    <t>Ricardo é um jovem punk da periferia de Santiago do Chile que divide seu tempo entre shows, bebidas e o cuidado com a avó doente. Sua realidade muda drasticamente ao provar um misterioso coquetel caseiro que lhe concede superpoderes temporários, ativados sempre que consome álcool. Decidido a usar esse dom para transformar a sociedade e fazer uma revolução, ele entra em ação. Contudo, tudo sai do controle após um erro trágico e sangrento envolvendo o presidente, desencadeando uma insana crise política de escala internacional.</t>
  </si>
  <si>
    <t>Direção: Diego "Mapache" Fuentes | Roteiro: Diego "Mapache" Fuentes | Produtora: Cine Udd | Produção: Tomás Santelices | Fotografia: Vicente Correa | Montagem: Lleyton Monteverde | Música: Ian Strika, Cristian Freund, Gianlucca Aste | Elenco: Ramon Gavéz, Diego Bravo, Antonia Mccarthy</t>
  </si>
  <si>
    <t>131</t>
  </si>
  <si>
    <t>Me Nego Completamente</t>
  </si>
  <si>
    <t>Me Niego Rotundamente</t>
  </si>
  <si>
    <t>Bolívia + 1 país</t>
  </si>
  <si>
    <t>Bolívia, México</t>
  </si>
  <si>
    <t>Nina Wara Carrasco Gómez</t>
  </si>
  <si>
    <t>Estación Marte Films</t>
  </si>
  <si>
    <t>Lourdes Manzano, Paula Astorga Riestra, Nina Wara</t>
  </si>
  <si>
    <t>Pablo Rojo Guadarrama</t>
  </si>
  <si>
    <t>Sonia Sánchez Carrasco (Amee)</t>
  </si>
  <si>
    <t>Carolina Barenbaum, Música de Maestros</t>
  </si>
  <si>
    <t>Retrato íntimo e corajoso que aborda a dor e a violência de gênero a partir de uma perspectiva profundamente pessoal. A cineasta Nina Wara Carrasco investiga o feminicídio da própria prima, um caso com repercussão na época, registrando a jornada de sua família para romper o silêncio. O documentário acompanha mulheres que transformam o luto e a dor herdada em memória ativa, justiça e resistência política contra a violência que atinge as mulheres.</t>
  </si>
  <si>
    <t>Direção: Nina Wara Carrasco Gómez | Roteiro: Nina Wara Carrasco Gómez | Produtora: Estación Marte Films | Produção: Lourdes Manzano, Paula Astorga Riestra, Nina Wara | Fotografia: Pablo Rojo Guadarrama | Montagem: Sonia Sánchez Carrasco (Amee) | Música: Carolina Barenbaum, Música de Maestros</t>
  </si>
  <si>
    <t>132</t>
  </si>
  <si>
    <t>https://letterboxd.com/film/el-deshielo/</t>
  </si>
  <si>
    <t>O Degelo</t>
  </si>
  <si>
    <t>Deshielo, El</t>
  </si>
  <si>
    <t>Chile + 3 países</t>
  </si>
  <si>
    <t>Chile, Estados Unidos, Espanha, México</t>
  </si>
  <si>
    <t>Manuela Martelli</t>
  </si>
  <si>
    <t>Ronda Cine, Cinema Inutile, Wood Producciones</t>
  </si>
  <si>
    <t>Alejandra García, Alex C. Lo, Andrés Wood</t>
  </si>
  <si>
    <t>Benjamín Echazarreta</t>
  </si>
  <si>
    <t>Yibrán Asuad</t>
  </si>
  <si>
    <t>Mariá Portugal</t>
  </si>
  <si>
    <t>Maya O’rourke, Saskia Rosendahl, Maia Domagala, Jakub Gierszał, Paulina Urrutia, Mauricio Pesutic, Lautaro Cantillana, Paula Zúñiga, Roberto Farías, Daniela Pino, Luis Uribe</t>
  </si>
  <si>
    <t>Chile, 1992. Inés, de 9 anos, passa uma temporada no hotel isolado dos avós, próximo a uma estação de esqui nos Andes. Ali, faz amizade com Hanna, uma esquiadora alemã de 15 anos. Quando a adolescente desaparece sem deixar vestígios, a busca rompe a quietude do lugar e revela verdades que os adultos preferiam manter ocultas. Pelos olhos de uma criança, o mistério expõe as fissuras de um mundo aparentemente protegido. Exibido na mostra Un Certain Regard do Festival de Cannes 2026.</t>
  </si>
  <si>
    <t>Direção: Manuela Martelli | Roteiro: Manuela Martelli | Produtora: Ronda Cine, Cinema Inutile, Wood Producciones | Produção: Alejandra García, Alex C. Lo, Andrés Wood | Fotografia: Benjamín Echazarreta | Montagem: Yibrán Asuad | Música: Mariá Portugal | Elenco: Maya O’rourke, Saskia Rosendahl, Maia Domagala, Jakub Gierszał, Paulina Urrutia, Mauricio Pesutic, Lautaro Cantillana, Paula Zúñiga, Roberto Farías, Daniela Pino, Luis Uribe</t>
  </si>
  <si>
    <t>133</t>
  </si>
  <si>
    <t>O Hangar Vermelho</t>
  </si>
  <si>
    <t>Hangar Rojo</t>
  </si>
  <si>
    <t>Argentina + 2 países</t>
  </si>
  <si>
    <t>Chile, Argentina, Itália</t>
  </si>
  <si>
    <t>Nicolás Zárate, Boris Quercia, Marcial Tagle, Catalina Stuardo, Aron Hernández, Juan Cano, Francisco Carrasco</t>
  </si>
  <si>
    <t>Enquanto o golpe militar chileno se espalha pelo país, o Capitão Jorge Silva — ex- -chefe da Inteligência da Força Aérea — recebe uma ordem que mudará sua vida para sempre: transformar a Academia da Força Aérea, onde agora treina jovens cadetes, em um centro de detenção e tortura.</t>
  </si>
  <si>
    <t>Direção: Juan Pablo Sallato | Roteiro: Luis Emilio Guzmán | Produtora: Villano, Caravan | Produção: Juan Ignacio Sabatini, Juan Pablo Sallato | Fotografia: Diego Pequeño | Montagem: Valeria Hernández, Sebastián Brahm | Música: Alberto Michelli, Matteo Marrella | Elenco: Nicolás Zárate, Boris Quercia, Marcial Tagle, Catalina Stuardo, Aron Hernández, Juan Cano, Francisco Carrasco</t>
  </si>
  <si>
    <t>134</t>
  </si>
  <si>
    <t>O Jardim Que Sonhamos</t>
  </si>
  <si>
    <t>jardín que soñamos, El</t>
  </si>
  <si>
    <t>México</t>
  </si>
  <si>
    <t>Joaquín del Paso</t>
  </si>
  <si>
    <t>Joaquím del Paso</t>
  </si>
  <si>
    <t>Cárcava Cine, Amondo Cine</t>
  </si>
  <si>
    <t>Joaquím del Paso, Fernanda de la Peza, Itzel Sierra, Eduardo Díaz Casanova</t>
  </si>
  <si>
    <t>Gökhan Tiryaki</t>
  </si>
  <si>
    <t>Raul Barreras</t>
  </si>
  <si>
    <t>Rogelio Sosa, Kyle Dixon, Michael Stein</t>
  </si>
  <si>
    <t>Carlos Esquivel, Faustin Pierre, Kimaëlle Holly Preville , Nehemie Bastien, Ruth Aicha Pierre Nelson</t>
  </si>
  <si>
    <t>Em uma terra estrangeira, em meio a uma floresta que desaparece, uma família constrói uma frágil bolha de ternura — um efêmero jardim de esperança onde o amor ainda pode criar raízes. O longa-metragem teve sua estreia mundial e foi exibido na seção Panorama do Festival Internacional de Cinema de Berlim de 2026.</t>
  </si>
  <si>
    <t>Direção: Joaquín del Paso | Roteiro: Joaquím del Paso | Produtora: Cárcava Cine, Amondo Cine | Produção: Joaquím del Paso, Fernanda de la Peza, Itzel Sierra, Eduardo Díaz Casanova | Fotografia: Gökhan Tiryaki | Montagem: Raul Barreras | Música: Rogelio Sosa, Kyle Dixon, Michael Stein | Elenco: Carlos Esquivel, Faustin Pierre, Kimaëlle Holly Preville , Nehemie Bastien, Ruth Aicha Pierre Nelson</t>
  </si>
  <si>
    <t>135</t>
  </si>
  <si>
    <t>https://letterboxd.com/film/el-partido-2026/</t>
  </si>
  <si>
    <t>O Jogo</t>
  </si>
  <si>
    <t>Partido, El</t>
  </si>
  <si>
    <t>Argentina</t>
  </si>
  <si>
    <t>Juan Cabral, Santiago Franco</t>
  </si>
  <si>
    <t>Juan Cabral, Santiago Flora</t>
  </si>
  <si>
    <t>Industria del Milagro</t>
  </si>
  <si>
    <t>Flora Fernandez Marengo</t>
  </si>
  <si>
    <t>Pablo Gallego</t>
  </si>
  <si>
    <t>Lucas Coppolecchia, Sebastian Fasanelli, Juan P. Scaglione, Mauro Caporosi</t>
  </si>
  <si>
    <t>Nico Barry, Tomas Jacobi</t>
  </si>
  <si>
    <t>Gary Lineker, John Barnes, Jorge Burruchaga, Jorge Valdano, Julio Olarticoechea, Oscar Ruggeri, Peter Shilton, Ricardo Giusti</t>
  </si>
  <si>
    <t>Na Copa do Mundo de 1986, Argentina e Inglaterra se enfrentam no Estádio Azteca em uma partida marcada pelo célebre e controverso gol da “Mão de Deus”, de Maradona. Com imagens raras de arquivo, o documentário reconstrói o jogo como memória viva e culminação de mais de dois séculos de encontros, disputas e conflitos entre os países, das primeiras tensões à Guerra das Malvinas. Entre a beleza do futebol e o absurdo da guerra, o passado continua a ecoar no presente. Estreia mundial na seção Cannes Première do Festival de Cannes 2026.</t>
  </si>
  <si>
    <t>Direção: Juan Cabral, Santiago Franco | Roteiro: Juan Cabral, Santiago Flora | Produtora: Industria del Milagro | Produção: Flora Fernandez Marengo | Fotografia: Pablo Gallego | Montagem: Lucas Coppolecchia, Sebastian Fasanelli, Juan P. Scaglione, Mauro Caporosi | Música: Nico Barry, Tomas Jacobi | Elenco: Gary Lineker, John Barnes, Jorge Burruchaga, Jorge Valdano, Julio Olarticoechea, Oscar Ruggeri, Peter Shilton, Ricardo Giusti</t>
  </si>
  <si>
    <t>136</t>
  </si>
  <si>
    <t>O Resto é Ruído</t>
  </si>
  <si>
    <t>Lo demás es ruido</t>
  </si>
  <si>
    <t>Alemanha, Canadá, México</t>
  </si>
  <si>
    <t>Nicolas Pereda</t>
  </si>
  <si>
    <t>Juan Francisco Maldonado, Nicolás Pereda</t>
  </si>
  <si>
    <t>En Chinga Producciones</t>
  </si>
  <si>
    <t>Catalina Pereda</t>
  </si>
  <si>
    <t>Nicolás Pereda</t>
  </si>
  <si>
    <t>Violeta García, Gerardo Kalmar</t>
  </si>
  <si>
    <t>Francisco Barreiro, José Rodríguez López, Luisa Pardo, Lázaro G. Rodríguez, Rosa Estela Juárez Vargas, Teresita Sánchez</t>
  </si>
  <si>
    <t>Rosa, uma compositora, aceita dar sua primeira entrevista para a televisão no apartamento da colega Tere, escondida do marido. Mas latidos de cachorro, quedas de energia, equipamentos defeituosos e as intervenções mordazes de Luisa, filha de Tere, desviam a conversa de forma hilariante. Ao passo que tensões artísticas e familiares vêm à tona, esta comédia absurda expõe rivalidades, sexismo e pretensões do mundo da arte, celebrando o afeto e a cumplicidade entre três mulheres.</t>
  </si>
  <si>
    <t>Direção: Nicolas Pereda | Roteiro: Juan Francisco Maldonado, Nicolás Pereda | Produtora: En Chinga Producciones | Produção: Catalina Pereda | Fotografia: Nicolás Pereda | Montagem: Nicolás Pereda | Música: Violeta García, Gerardo Kalmar | Elenco: Francisco Barreiro, José Rodríguez López, Luisa Pardo, Lázaro G. Rodríguez, Rosa Estela Juárez Vargas, Teresita Sánchez</t>
  </si>
  <si>
    <t>137</t>
  </si>
  <si>
    <t>O Trem Fluvial</t>
  </si>
  <si>
    <t>Tren Fluvial, El</t>
  </si>
  <si>
    <t>Lorenzo Ferro, Lucas A. Vignale</t>
  </si>
  <si>
    <t>Cinco Rayos</t>
  </si>
  <si>
    <t>Tomás Grandio, Valentine Torre, Casiana Vera</t>
  </si>
  <si>
    <t>Thomas Grinberg</t>
  </si>
  <si>
    <t>Andrés Medina, Lucas A. Vignale</t>
  </si>
  <si>
    <t>Oniria</t>
  </si>
  <si>
    <t>Milo Barría, Lucrecia Pazos, Mailén Barría, Mariano Barría, Rita Pauls, Pehuén Pedre, Diego Puente</t>
  </si>
  <si>
    <t>Aos nove anos, Milo vive em um povoado remoto da Argentina, onde treina para se tornar um grande bailarino de Malambo, dança folclórica cheia de bravura, enquanto se esforça para ser o filho perfeito. Mas ele sonha com outra vida: viajar de trem até Buenos Aires, cidade que conhece apenas pelo cinema e pela televisão. Para escapar do destino que lhe é imposto, Milo parte em uma aventura rumo ao desconhecido, entre a liberdade, a solidão e as descobertas da grande cidade.</t>
  </si>
  <si>
    <t>Direção: Lorenzo Ferro, Lucas A. Vignale | Roteiro: Lorenzo Ferro, Lucas A. Vignale | Produtora: Cinco Rayos | Produção: Tomás Grandio, Valentine Torre, Casiana Vera | Fotografia: Thomas Grinberg | Montagem: Andrés Medina, Lucas A. Vignale | Música: Oniria | Elenco: Milo Barría, Lucrecia Pazos, Mailén Barría, Mariano Barría, Rita Pauls, Pehuén Pedre, Diego Puente</t>
  </si>
  <si>
    <t>138</t>
  </si>
  <si>
    <t>Para Sempre Seu Animal Materno</t>
  </si>
  <si>
    <t>Siempre Soy Tu Animal Materno</t>
  </si>
  <si>
    <t>Bélgica, França, México</t>
  </si>
  <si>
    <t>Valentina Maurel</t>
  </si>
  <si>
    <t>Géko Film, Wrong Men</t>
  </si>
  <si>
    <t>Benoit Roland, Grégoire Debailly</t>
  </si>
  <si>
    <t>Nicolás Andrés</t>
  </si>
  <si>
    <t>Betrand Conard</t>
  </si>
  <si>
    <t>Daniela Marín, Mariangel Montero, Marina de Tavira, Reinaldo Amién</t>
  </si>
  <si>
    <t>Após estudar na Europa, Elsa retorna à Costa Rica e encontra a irmã mais nova, Amalia, sozinha na casa da família. Cada vez mais reclusa, ela parece mergulhar progressivamente em um mundo próprio. Elsa tenta alertar os pais, mas o pai se ocupa de novos casos amorosos, enquanto a mãe reedita os poemas eróticos que escreveu na juventude. Sem que percebam a urgência da situação, as três mulheres precisam confrontar aquilo que, apesar de tudo, ainda as une. Prêmio de Melhor Atriz para Marina de Tavira na mostra Un Certain Regard do Festival de Cannes 2026.</t>
  </si>
  <si>
    <t>Direção: Valentina Maurel | Roteiro: Valentina Maurel | Produtora: Géko Film, Wrong Men | Produção: Benoit Roland, Grégoire Debailly | Fotografia: Nicolás Andrés | Montagem: Betrand Conard | Elenco: Daniela Marín, Mariangel Montero, Marina de Tavira, Reinaldo Amién</t>
  </si>
  <si>
    <t>139</t>
  </si>
  <si>
    <t>Pepita: A Pistoleira</t>
  </si>
  <si>
    <t>Pepita: La Pistolera</t>
  </si>
  <si>
    <t>Lucia Puenzo</t>
  </si>
  <si>
    <t>Lucía Puenzo, Andrés Gelós, Tatiana Mereñuk</t>
  </si>
  <si>
    <t>Zeppelin Studios, Historias Cinematográficas, Pampa Films, Life Is One, The Remake</t>
  </si>
  <si>
    <t>Lucas Jinkis, Lucía Puenzo, Esteban Puenzo, Cabe Bossi, Pol Bossi, Luisana Lopilato, Javier Furgang</t>
  </si>
  <si>
    <t>Iván Gierasinchuk</t>
  </si>
  <si>
    <t>Misael Bustos</t>
  </si>
  <si>
    <t>Andrés Goldstein, Daniel Tarrab</t>
  </si>
  <si>
    <t>Luisana Lopilato, Claudio Tolcachir, Alberto Ajaka, Charo López, Marcelo Subiotto, Esteban Bigliardi, Gustavo Bassani, Camila Peralta</t>
  </si>
  <si>
    <t>Mar del Plata, 1985. Grávida, a trabalhadora sexual Margarita Di Tullio desafia a máfia e uma estrutura de poder corrompida para construir um império clandestino que protege as mulheres dos horrores das ruas, tornando-se uma lenda forjada por uma espingarda e pela lealdade materna… a lenda de Pepita, a Pistoleira. Baseado em fatos reais.</t>
  </si>
  <si>
    <t>Direção: Lucia Puenzo | Roteiro: Lucía Puenzo, Andrés Gelós, Tatiana Mereñuk | Produtora: Zeppelin Studios, Historias Cinematográficas, Pampa Films, Life Is One, The Remake | Produção: Lucas Jinkis, Lucía Puenzo, Esteban Puenzo, Cabe Bossi, Pol Bossi, Luisana Lopilato, Javier Furgang | Fotografia: Iván Gierasinchuk | Montagem: Misael Bustos | Música: Andrés Goldstein, Daniel Tarrab | Elenco: Luisana Lopilato, Claudio Tolcachir, Alberto Ajaka, Charo López, Marcelo Subiotto, Esteban Bigliardi, Gustavo Bassani, Camila Peralta</t>
  </si>
  <si>
    <t>140</t>
  </si>
  <si>
    <t>https://letterboxd.com/film/narciso-2026/</t>
  </si>
  <si>
    <t>Quem Matou Narciso?</t>
  </si>
  <si>
    <t>Narciso</t>
  </si>
  <si>
    <t>Paraguai + 6 países</t>
  </si>
  <si>
    <t>Paraguai, Brasil, Portugal, Alemanha, Espanha, França, Uruguai</t>
  </si>
  <si>
    <t>Marcelo Martinessi</t>
  </si>
  <si>
    <t>La Babosa Cine</t>
  </si>
  <si>
    <t>Sebastián Peña-Escobar, Marcelo Martinessi</t>
  </si>
  <si>
    <t>Luis Arteaga</t>
  </si>
  <si>
    <t>Fernando Epstein, Marcelo Martinessi</t>
  </si>
  <si>
    <t>Zeltia Montes Muñoz</t>
  </si>
  <si>
    <t>Diro Romero, Manuel Cuenca, Arturo Fleitas, Margarita Irún, Mona Martínez</t>
  </si>
  <si>
    <t>Paraguai, 1959. Sob um regime militar sufocante, o carismático Narciso vira sensação no rádio ao trazer o rock'n'roll de Buenos Aires. Símbolo de liberdade desejado por todos, ele inquieta o sistema tradicional até ser misteriosamente encontrado sem vida. Quem matou Narciso? Do diretor de As Herdeiras e baseado no livro de Guido Rodríguez, o filme expõe o medo de uma geração. Vencedor do Prêmio FIPRESCI de Melhor Filme da mostra Panorama na 76ª edição do Festival de Berlim.</t>
  </si>
  <si>
    <t>Direção: Marcelo Martinessi | Roteiro: Marcelo Martinessi | Produtora: La Babosa Cine | Produção: Sebastián Peña-Escobar, Marcelo Martinessi | Fotografia: Luis Arteaga | Montagem: Fernando Epstein, Marcelo Martinessi | Música: Zeltia Montes Muñoz | Elenco: Diro Romero, Manuel Cuenca, Arturo Fleitas, Margarita Irún, Mona Martínez</t>
  </si>
  <si>
    <t>141</t>
  </si>
  <si>
    <t>Seis Meses no Prédio Rosa e Azul</t>
  </si>
  <si>
    <t>Seis meses en el edificio</t>
  </si>
  <si>
    <t>Brasil + 2 países</t>
  </si>
  <si>
    <t>México, Brasil, Dinamarca</t>
  </si>
  <si>
    <t>Bruno Santamaría Razo</t>
  </si>
  <si>
    <t>Ojo de Vaca</t>
  </si>
  <si>
    <t>Bruna Haddad, Carlos Quiñónez, Bruno Santamaria Razo</t>
  </si>
  <si>
    <t>Fernando Hernández García</t>
  </si>
  <si>
    <t>Andrea Rabasa Jofre, Bruno Santamaría Razo, Marília Moraes</t>
  </si>
  <si>
    <t>Léo Chermont</t>
  </si>
  <si>
    <t>Jade Reyes, Sofia Espinosa, Lázaro G. Rodríguez, Eduardo Gómez, Valeria Vanegas, Anuar Vera, Teresa Sánchez, Valentina Cohen, Nara Carreira, Demick Lopes</t>
  </si>
  <si>
    <t>Cidade do México, início dos anos 1990. No dia em que completa 11 anos, Bruno vê seus sentimentos crescentes pelo melhor amigo, Vladimir, colidirem com a revelação de que seu pai tem HIV. Trinta anos depois, Bruno recorre ao cinema para revisitar e reinventar aquilo que não pôde compreender inteiramente quando criança.</t>
  </si>
  <si>
    <t>Direção: Bruno Santamaría Razo | Roteiro: Bruno Santamaría Razo | Produtora: Ojo de Vaca | Produção: Bruna Haddad, Carlos Quiñónez, Bruno Santamaria Razo | Fotografia: Fernando Hernández García | Montagem: Andrea Rabasa Jofre, Bruno Santamaría Razo, Marília Moraes | Música: Léo Chermont | Elenco: Jade Reyes, Sofia Espinosa, Lázaro G. Rodríguez, Eduardo Gómez, Valeria Vanegas, Anuar Vera, Teresa Sánchez, Valentina Cohen, Nara Carreira, Demick Lopes</t>
  </si>
  <si>
    <t>142</t>
  </si>
  <si>
    <t>https://letterboxd.com/film/soy-mario/</t>
  </si>
  <si>
    <t>Sou Mario</t>
  </si>
  <si>
    <t>Soy Mario</t>
  </si>
  <si>
    <t>Sharon Kleinberg</t>
  </si>
  <si>
    <t>Producciones Siete Elefantes</t>
  </si>
  <si>
    <t>Sharon Kleinberg, Jaime Tiktin</t>
  </si>
  <si>
    <t>Gerard Uzcategui</t>
  </si>
  <si>
    <t>Aldo Álvarez Morales</t>
  </si>
  <si>
    <t>Oustin de León, Héctor Kotsifakis, Mayra Batalla, Ruth Ramos, Krystian Ferrer, Mercedes Hernández, Fermín Martínez, Fernanda Rivera, Norma Pablo, Assira Abbate, Kathy Bernal</t>
  </si>
  <si>
    <t>Mario, um taxista trans de 40 anos, divide a rotina entre a namorada, a família e colegas de trabalho marcados por códigos machistas. Uma gravidez inesperada abre a possibilidade de realizar seu sonho de ser pai, mas também o leva a rever sua relação com o corpo e a masculinidade. Diante do preconceito ao redor, ele precisa enfrentar os próprios medos e reinventar sua maneira de existir. Estreia mundial no Festival de Guadalajara 2026, onde recebeu o Prêmio Maguey do Júri e rendeu a Oustin de León o Prêmio Mezcal de Melhor Interpretação.</t>
  </si>
  <si>
    <t>Direção: Sharon Kleinberg | Roteiro: Sharon Kleinberg | Produtora: Producciones Siete Elefantes | Produção: Sharon Kleinberg, Jaime Tiktin | Fotografia: Gerard Uzcategui | Montagem: Aldo Álvarez Morales | Elenco: Oustin de León, Héctor Kotsifakis, Mayra Batalla, Ruth Ramos, Krystian Ferrer, Mercedes Hernández, Fermín Martínez, Fernanda Rivera, Norma Pablo, Assira Abbate, Kathy Bernal</t>
  </si>
  <si>
    <t>143</t>
  </si>
  <si>
    <t>Um Mundo Abandonado</t>
  </si>
  <si>
    <t>mundo abandonado, Un</t>
  </si>
  <si>
    <t>Miguel Zeballos</t>
  </si>
  <si>
    <t>Ojo Blindado Cine</t>
  </si>
  <si>
    <t>Armin Marchesini</t>
  </si>
  <si>
    <t>Juan Loustaunau, Fernando Epstein, Miguel Zeballos</t>
  </si>
  <si>
    <t>Luciano Superville</t>
  </si>
  <si>
    <t>Inés Efron, Alfonso Tort, Borja Recalde</t>
  </si>
  <si>
    <t>Após o desaparecimento do pai, uma mãe e seu filho se refugiam em uma casa isolada entre a montanha e o lago. Em meio ao confinamento, o tempo parece suspenso, enquanto ambos aguardam por um retorno impossível. Entre silêncios e memórias, o luto se revela em suas diferentes camadas, transformando a dor da ausência em uma experiência íntima sobre a melancólica e agridoce tarefa de dizer adeus.</t>
  </si>
  <si>
    <t>Direção: Miguel Zeballos | Produtora: Ojo Blindado Cine | Fotografia: Armin Marchesini | Montagem: Juan Loustaunau, Fernando Epstein, Miguel Zeballos | Música: Luciano Superville | Elenco: Inés Efron, Alfonso Tort, Borja Recalde</t>
  </si>
  <si>
    <t>144</t>
  </si>
  <si>
    <t>Vinchuca</t>
  </si>
  <si>
    <t>2024</t>
  </si>
  <si>
    <t>Argentina, Brasil</t>
  </si>
  <si>
    <t>Luis Zorraquin</t>
  </si>
  <si>
    <t>Luis Zorraquin, Laura Avila</t>
  </si>
  <si>
    <t>Pelicano Cine</t>
  </si>
  <si>
    <t>Esteban Lucangioli</t>
  </si>
  <si>
    <t>Edu Rabin</t>
  </si>
  <si>
    <t>Francisco Freixa, Bruno Autran</t>
  </si>
  <si>
    <t>Pedro Santiago</t>
  </si>
  <si>
    <t>Fernanada Vergara, Marcelo Savignone, Ana Sedoff, Sabina Buss, Rafael Sieg</t>
  </si>
  <si>
    <t>Nelson deixa a escola para contrabandear celulares na fronteira entre Argentina e Brasil. Pego pela polícia, é obrigado a se tornar informante para salvar a pele. Sua missão é se infiltrar em um novo colégio e se aproximar das filhas de um suposto traficante. Morando com um policial hostil, o jovem se vê preso em uma rede perigosa de mentiras, crime e vigilância constante, onde qualquer erro pode ser fatal. Um thriller tenso sobre escolhas e sobrevivência.</t>
  </si>
  <si>
    <t>Direção: Luis Zorraquin | Roteiro: Luis Zorraquin, Laura Avila | Produtora: Pelicano Cine | Produção: Esteban Lucangioli | Fotografia: Edu Rabin | Montagem: Francisco Freixa, Bruno Autran | Música: Pedro Santiago | Elenco: Fernanada Vergara, Marcelo Savignone, Ana Sedoff, Sabina Buss, Rafael Sieg</t>
  </si>
  <si>
    <t>145</t>
  </si>
  <si>
    <t>Itinerários Únicos</t>
  </si>
  <si>
    <t>https://letterboxd.com/film/amilcar/</t>
  </si>
  <si>
    <t>Amílcar</t>
  </si>
  <si>
    <t>Cabo Verde + 4 países</t>
  </si>
  <si>
    <t>Cabo Verde, Espanha, França, Portugal, Suécia</t>
  </si>
  <si>
    <t>Miguel Eek</t>
  </si>
  <si>
    <t>Alba Lombardía, Miguel Eek</t>
  </si>
  <si>
    <t>Mosaic Producciones</t>
  </si>
  <si>
    <t>Miguel Eek, Luis Correia, Marie Dumoulin</t>
  </si>
  <si>
    <t>João Pedro Plácido</t>
  </si>
  <si>
    <t>Federico Delpero</t>
  </si>
  <si>
    <t>Agrônomo, poeta e revolucionário, Amílcar Cabral liderou a luta anticolonial pela libertação da Guiné-Bissau e de Cabo Verde. A partir de cartas, poemas e escritos políticos, combinados a arquivos históricos e imagens filmadas em 16 mm, o documentário constrói o retrato poético de um visionário que uniu terra, cultura e liberdade. Para além do ícone político, revela a vida íntima de um homem cujas ideias sobre justiça e dignidade permanecem urgentes no mundo de hoje. Vencedor do prêmio de Contribuição Artística no IDFA, prestigiado Festival de Documentários de Amsterdã.</t>
  </si>
  <si>
    <t>Direção: Miguel Eek | Roteiro: Alba Lombardía, Miguel Eek | Produtora: Mosaic Producciones | Produção: Miguel Eek, Luis Correia, Marie Dumoulin | Fotografia: João Pedro Plácido | Montagem: Federico Delpero</t>
  </si>
  <si>
    <t>146</t>
  </si>
  <si>
    <t>https://letterboxd.com/film/bajani/</t>
  </si>
  <si>
    <t>Bajañí</t>
  </si>
  <si>
    <t>Fernando Trueba</t>
  </si>
  <si>
    <t>Antonio Carreto, José Carlos Conde, Damián París</t>
  </si>
  <si>
    <t>Raúl Azuara, Lula Cerri, Fernando Young</t>
  </si>
  <si>
    <t>Marta Velasco</t>
  </si>
  <si>
    <t>Luiz Alves, Artemis, Kenny Barron, Rubén Blades, Ron Carter, Dadi Carvalho, François de Lima, Valdir J. Ferreira, Walmer Gil, Antonio Hart, José Heredia, Niño Josele, Anthony Kot, Julian Lee, Marisa Monte, Sidinho Moreira, Estrella Morente, Soleá Morente, Otavio Nestares, César Roversi, Robertinho Silva, Ryoma Takenaga, Caetano Veloso</t>
  </si>
  <si>
    <t>Tendo como guia a guitarra flamenca de Niño Josele, Fernando Trueba percorre Espanha, Estados Unidos e Brasil, promovendo encontros entre diferentes tradições musicais. Sem entrevistas ou narração convencional, o filme deixa que a música conduza a viagem e revele os diálogos entre flamenco, jazz e música brasileira. Participam artistas como Caetano Veloso, Marisa Monte, Rubén Blades, Ron Carter, Kenny Barron, Estrella Morente e Soleá Morente. Exibido em sessão especial no Festival de San Sebastián de 2026.</t>
  </si>
  <si>
    <t>Direção: Fernando Trueba | Roteiro: Fernando Trueba | Produção: Antonio Carreto, José Carlos Conde, Damián París | Fotografia: Raúl Azuara, Lula Cerri, Fernando Young | Montagem: Marta Velasco | Elenco: Luiz Alves, Artemis, Kenny Barron, Rubén Blades, Ron Carter, Dadi Carvalho, François de Lima, Valdir J. Ferreira, Walmer Gil, Antonio Hart, José Heredia, Niño Josele, Anthony Kot, Julian Lee, Marisa Monte, Sidinho Moreira, Estrella Morente, Soleá Morente, Otavio Nestares, César Roversi, Robertinho Silva, Ryoma Takenaga, Caetano Veloso</t>
  </si>
  <si>
    <t>147</t>
  </si>
  <si>
    <t>https://letterboxd.com/film/barbara-forever/</t>
  </si>
  <si>
    <t>Barbara Forever</t>
  </si>
  <si>
    <t>Brydie O'connor</t>
  </si>
  <si>
    <t>Space Time Films</t>
  </si>
  <si>
    <t>Elijah Stevens, Brydie O’connor, Claire Edelman</t>
  </si>
  <si>
    <t>Matt Hixon</t>
  </si>
  <si>
    <t>Taul Katz</t>
  </si>
  <si>
    <t>Com mais de 80 filmes, Barbara Hammer fez do cinema experimental um espaço para registrar vidas e desejos lésbicos apagados pela história. Formado por cinco décadas de arquivos, diários sonoros, fotografias e imagens inéditas, o documentário faz da cineasta a narradora da própria trajetória. Em sua voz e perspectiva, corpo, sexualidade, envelhecimento, doença e amor queer tornam-se matéria de criação e resistência. Vencedor do Prêmio Jonathan Oppenheim de montagem no Festival de Sundance e do Teddy de melhor documentário no Festival de Berlim 2026.</t>
  </si>
  <si>
    <t>Direção: Brydie O'connor | Produtora: Space Time Films | Produção: Elijah Stevens, Brydie O’connor, Claire Edelman | Montagem: Matt Hixon | Música: Taul Katz</t>
  </si>
  <si>
    <t>148</t>
  </si>
  <si>
    <t>https://letterboxd.com/film/the-disciple-2026/</t>
  </si>
  <si>
    <t>Discípulo: A História de Cilvaringz</t>
  </si>
  <si>
    <t>Disciple, The</t>
  </si>
  <si>
    <t>Estados Unidos, Marrocos, Reino Unido</t>
  </si>
  <si>
    <t>Joanna Natasegara</t>
  </si>
  <si>
    <t>Violet Films, Aluna Entertainment, Studio Gebbia, Film4</t>
  </si>
  <si>
    <t>Abigail Anketell-Jones, Lauren Dark, Vanessa Kirby</t>
  </si>
  <si>
    <t>Franklin Dow, Pierre Aïm</t>
  </si>
  <si>
    <t>Chloë Lambourne, Chris Dickens</t>
  </si>
  <si>
    <t>Mj Cole</t>
  </si>
  <si>
    <t>Movido pela ambição e pela criatividade, o rapper Cilvaringz, um jovem outsider, conquista seu lugar no círculo íntimo do Wu-Tang Clan e participa da criação de um álbum controverso, se tornando discípulo de seus ídolos de infância. Poucos discos alcançaram o status mítico de Once Upon a Time in Shaolin: uma obra de 31 faixas, lançada em uma única cópia física e leiloada em 2015. Concebida como um protesto contra a desvalorização da música na era digital, a iniciativa reivindica seu valor como obra de arte. Exibido na mostra Un Certain Regard do Festival de Cannes 2026.</t>
  </si>
  <si>
    <t>Direção: Joanna Natasegara | Produtora: Violet Films, Aluna Entertainment, Studio Gebbia, Film4 | Produção: Abigail Anketell-Jones, Lauren Dark, Vanessa Kirby | Fotografia: Franklin Dow, Pierre Aïm | Montagem: Chloë Lambourne, Chris Dickens | Música: Mj Cole</t>
  </si>
  <si>
    <t>149</t>
  </si>
  <si>
    <t>https://letterboxd.com/film/douglas-gordon-by-douglas-gordon/</t>
  </si>
  <si>
    <t>Douglas Gordon por Douglas Gordon</t>
  </si>
  <si>
    <t>Douglas Gordon By Douglas Gordon</t>
  </si>
  <si>
    <t>Reino Unido, França</t>
  </si>
  <si>
    <t>Finlay Pretsell</t>
  </si>
  <si>
    <t>Sonja Henrici Creates, Parcel Of Rogues</t>
  </si>
  <si>
    <t>Sonja Henrici, Finlay Pretsell</t>
  </si>
  <si>
    <t>Martin Radich</t>
  </si>
  <si>
    <t>Kieran Gosney</t>
  </si>
  <si>
    <t>Cj Mirra</t>
  </si>
  <si>
    <t>Douglas Gordon</t>
  </si>
  <si>
    <t>Este retrato cru e íntimo acompanha a trajetória de um dos artistas mais influentes de sua geração, explorando a tênue fronteira entre realidade e performance. Nascido em Glasgow durante a era Thatcher, Douglas Gordon revela seus pensamentos mais profundos enquanto cria novas obras e reflete sobre o envelhecimento. A relação entre o artista e o cineasta torna-se complexa, questionando quem realmente conduz a narrativa. Através deste olhar multifacetado, testemunhamos a entrega total e os sacrifícios que moldaram sua carreira.</t>
  </si>
  <si>
    <t>Direção: Finlay Pretsell | Produtora: Sonja Henrici Creates, Parcel Of Rogues | Produção: Sonja Henrici, Finlay Pretsell | Fotografia: Martin Radich | Montagem: Kieran Gosney | Música: Cj Mirra | Elenco: Douglas Gordon</t>
  </si>
  <si>
    <t>150</t>
  </si>
  <si>
    <t>https://letterboxd.com/film/knife-the-attempted-murder-of-salman-rushdie/</t>
  </si>
  <si>
    <t>Faca: Reflexões Sobre um Atentado</t>
  </si>
  <si>
    <t>Knife: The Attempted Murder of Salman Rushdie</t>
  </si>
  <si>
    <t>Alex Gibney</t>
  </si>
  <si>
    <t>Salman Rushdie</t>
  </si>
  <si>
    <t>Jigsaw Productions</t>
  </si>
  <si>
    <t>Alex Gibney, Sruthi Pinnamaneni, Erin Edeiken, Mahak Jiwani, Daniel Bellone</t>
  </si>
  <si>
    <t>Rachel Eliza Griffiths, Bill Kirstein</t>
  </si>
  <si>
    <t>Andy Grieve</t>
  </si>
  <si>
    <t>Will Bates</t>
  </si>
  <si>
    <t>Documentário sobre a sobrevivência e a recuperação do escritor Salman Rushdie após sofrer um atentado à faca em 2022, mais de 30 anos depois de receber uma fatwa que decretava sua morte. Baseado nas memórias do autor publicadas no best-seller homônimo que foi nomeado para diversos prêmios o longa expõe os desafios físicos e espirituais de seu restabelecimento, trazendo filmagens íntimas e inéditas feitas por sua esposa, Rachel Eliza Griffiths. A obra combina jornalismo e reflexão artística, erguendo-se como um emocionante manifesto em defesa da liberdade de expressão.</t>
  </si>
  <si>
    <t>Direção: Alex Gibney | Roteiro: Salman Rushdie | Produtora: Jigsaw Productions | Produção: Alex Gibney, Sruthi Pinnamaneni, Erin Edeiken, Mahak Jiwani, Daniel Bellone | Fotografia: Rachel Eliza Griffiths, Bill Kirstein | Montagem: Andy Grieve | Música: Will Bates | Elenco: Salman Rushdie</t>
  </si>
  <si>
    <t>151</t>
  </si>
  <si>
    <t>Gerry Adams: O Levante de Ballymurphy</t>
  </si>
  <si>
    <t>Gerry Adams: un hombre de Ballymurphy</t>
  </si>
  <si>
    <t>México, Irlanda</t>
  </si>
  <si>
    <t>Trisha Ziff</t>
  </si>
  <si>
    <t>212 Berlin Films, Atomica, Pixel</t>
  </si>
  <si>
    <t>Trisha Ziff, Ross Mcdonnell</t>
  </si>
  <si>
    <t>Seamus Mcgarvey, Jeronimo Goded</t>
  </si>
  <si>
    <t>Jorge Márquez</t>
  </si>
  <si>
    <t>Jacobo Lieberman</t>
  </si>
  <si>
    <t>Documentário que revela o lado humano de Gerry Adams, figura marcante por liderar o movimento republicano irlandês. A produção mostra como ele superou prisões, censura e ataques da mídia para virar uma força crucial na paz da Irlanda do Norte, forçando o governo britânico a negociar. Usando fotos, vídeos e sua própria voz, a narrativa vai além das manchetes sensacionalistas para mostrar um homem genuíno, pessoal e sem filtros na luta pela unificação.</t>
  </si>
  <si>
    <t>Direção: Trisha Ziff | Roteiro: Trisha Ziff | Produtora: 212 Berlin Films, Atomica, Pixel | Produção: Trisha Ziff, Ross Mcdonnell | Fotografia: Seamus Mcgarvey, Jeronimo Goded | Montagem: Jorge Márquez | Música: Jacobo Lieberman</t>
  </si>
  <si>
    <t>152</t>
  </si>
  <si>
    <t>Jean-Michel Basquiat</t>
  </si>
  <si>
    <t>Quinn Whitney Wilson, Viridiana Lieberman</t>
  </si>
  <si>
    <t>Jordan Wynn, Andrew Fried, Harlin Lawal, Lana Barkin, Dane Lillegard, Ileen Sheppard Gallagher, Will Cohen, Quinn Whitney Wilson, David Laven</t>
  </si>
  <si>
    <t>Jo Jo Lam, Russ Fraser, Jay Swuen</t>
  </si>
  <si>
    <t>Viridiana Lieberman, Rebecca Adorno Dávila</t>
  </si>
  <si>
    <t>James William Blades</t>
  </si>
  <si>
    <t>Quase quatro décadas após sua morte aos 27 anos, a obra do artista ocupa museus, roupas e o imaginário popular, enquanto o homem por trás das pinturas permanece encoberto pelo mito. Conduzido pelas irmãs Lisane e Jeanine, o documentário reúne memórias de familiares e amigos, imagens raras, arquivos pessoais e trabalhos nunca exibidos para revisitar sua infância no Brooklyn, a passagem pela cena punk e a ascensão no circuito artístico de Nova York. Primeiro documentário autorizado por seu espólio. Exibido no Festival de Tribeca 2026.</t>
  </si>
  <si>
    <t>Direção: Quinn Whitney Wilson, Viridiana Lieberman | Produção: Jordan Wynn, Andrew Fried, Harlin Lawal, Lana Barkin, Dane Lillegard, Ileen Sheppard Gallagher, Will Cohen, Quinn Whitney Wilson, David Laven | Fotografia: Jo Jo Lam, Russ Fraser, Jay Swuen | Montagem: Viridiana Lieberman, Rebecca Adorno Dávila | Música: James William Blades</t>
  </si>
  <si>
    <t>153</t>
  </si>
  <si>
    <t>https://letterboxd.com/film/making-marie-antoinette/</t>
  </si>
  <si>
    <t>Making Marie Antoinette</t>
  </si>
  <si>
    <t>Documentário / Bastidores</t>
  </si>
  <si>
    <t>Eleanor Coppola</t>
  </si>
  <si>
    <t>Sofia Coppola, Kirsten Dunst, Jason Schwartzman, Eleanor Coppola</t>
  </si>
  <si>
    <t>Documentário póstumo idealizado por Eleanor Coppola e finalizado por Sofia Coppola. Celebra os 20 anos do longa Maria Antonieta (2006) através de registros de bastidores inéditos, diários de set e bastidores da produção.</t>
  </si>
  <si>
    <t>Direção: Eleanor Coppola | Participações: Sofia Coppola, Kirsten Dunst, Jason Schwartzman, Eleanor Coppola | Ano/País: 2026, Estados Unidos | Gênero: Documentário / Bastidores | Duração informada: 85 min</t>
  </si>
  <si>
    <t>154</t>
  </si>
  <si>
    <t>https://letterboxd.com/film/siri-hustvedt-dance-around-the-self/</t>
  </si>
  <si>
    <t>Siri Hustvedt - Dança em Torno do Eu</t>
  </si>
  <si>
    <t>Siri Hustvedt – Dance Around the Self</t>
  </si>
  <si>
    <t>Alemanha + 1 país</t>
  </si>
  <si>
    <t>Alemanha, Suíça</t>
  </si>
  <si>
    <t>Sabine Lidl</t>
  </si>
  <si>
    <t>Medea Film Factory</t>
  </si>
  <si>
    <t>Irene Höfer, Andreas Schroth</t>
  </si>
  <si>
    <t>Filip Zumbrunn</t>
  </si>
  <si>
    <t>Maxine Goedicke</t>
  </si>
  <si>
    <t>Balz Bachmann</t>
  </si>
  <si>
    <t>Wim Wenders, Siri Hustvedt, Paul Auster, Sophie Auster, Katerina Fotopoulou, Liv Hustvedt, Asti Hustvedt, Ingy Hustvedt, Spencer Ostrander</t>
  </si>
  <si>
    <t>Jovem, curiosa e cheia de energia, Siri Hustvedt deixa as paisagens calmas e abertas de Minnesota para mergulhar na vida pulsante de Nova Iorque. Buscando inspiração para construir o protagonista de seu primeiro romance, Siri inicia uma trajetória que a consolida como uma das vozes feministas e intelectuais mais potentes da literatura contemporânea dos Estados Unidos. Ao entrelaçar sua trajetória intelectual à história de amor com o escritor Paul Auster, o documentário constrói um retrato íntimo que se transforma em uma comovente reflexão sobre criação, amor e perda.</t>
  </si>
  <si>
    <t>Direção: Sabine Lidl | Roteiro: Sabine Lidl | Produtora: Medea Film Factory | Produção: Irene Höfer, Andreas Schroth | Fotografia: Filip Zumbrunn | Montagem: Maxine Goedicke | Música: Balz Bachmann | Elenco: Wim Wenders, Siri Hustvedt, Paul Auster, Sophie Auster, Katerina Fotopoulou, Liv Hustvedt, Asti Hustvedt, Ingy Hustvedt, Spencer Ostrander</t>
  </si>
  <si>
    <t>155</t>
  </si>
  <si>
    <t>https://letterboxd.com/film/tutu-2026/</t>
  </si>
  <si>
    <t>Tutu</t>
  </si>
  <si>
    <t>Sam Pollard</t>
  </si>
  <si>
    <t>Hiddenlight Productions, Universal Pictures Content Group</t>
  </si>
  <si>
    <t>Johnny Webb, Ellie Phillips, Beya Kabelu</t>
  </si>
  <si>
    <t>Geoffrey Sentamu</t>
  </si>
  <si>
    <t>Paul Trewartha</t>
  </si>
  <si>
    <t>Philip Miller</t>
  </si>
  <si>
    <t>Com imagens de arquivo inéditas e depoimentos de pessoas próximas, o documentário revela o homem por trás do arcebispo Desmond Tutu, Nobel da Paz e uma das principais vozes contra o apartheid. Da resistência não violenta à defesa da reconciliação nacional, acompanha como a fé, a esperança e a crença na humanidade orientaram sua atuação diante da brutalidade do regime sul-africano. Um retrato do poder político do perdão. Exibido na mostra Berlinale Special do Festival de Berlim 2026.</t>
  </si>
  <si>
    <t>Direção: Sam Pollard | Produtora: Hiddenlight Productions, Universal Pictures Content Group | Produção: Johnny Webb, Ellie Phillips, Beya Kabelu | Fotografia: Geoffrey Sentamu | Montagem: Paul Trewartha | Música: Philip Miller</t>
  </si>
  <si>
    <t>156</t>
  </si>
  <si>
    <t>Cinema Circulação</t>
  </si>
  <si>
    <t>A Fabulosa Máquina do Tempo</t>
  </si>
  <si>
    <t>Brasil</t>
  </si>
  <si>
    <t>Não informado</t>
  </si>
  <si>
    <t/>
  </si>
  <si>
    <t>Eliza Capai</t>
  </si>
  <si>
    <t>No sertão do Piauí (Guaribas), meninas de 10 anos transitam entre o TikTok, cultos evangélicos e expectativas para o futuro. Ao criarem uma máquina do tempo imaginária, elas exploram as vivências duras de suas mães e avós com a pobreza, projetando um amanhã onde se veem livres e realizadas.</t>
  </si>
  <si>
    <t>Direção: Eliza Capai | Classificação indicativa: 12 anos. A programação do documento registra duração de 72 min.</t>
  </si>
  <si>
    <t>157</t>
  </si>
  <si>
    <t>Agentes Muito Especiais</t>
  </si>
  <si>
    <t>Complementar / correção da usuária</t>
  </si>
  <si>
    <t>Comédia / Aventura / Comédia policial</t>
  </si>
  <si>
    <t>Pedro Antônio</t>
  </si>
  <si>
    <t>Fil Braz</t>
  </si>
  <si>
    <t>Globo Filmes; Migdal Filmes</t>
  </si>
  <si>
    <t>Iafa Britz; Cecília Grosso; Luiz Noronha</t>
  </si>
  <si>
    <t>Marcus Majella, Pedroca Monteiro e Dira Paes</t>
  </si>
  <si>
    <t>Os agentes Jeff e Johnny sofrem preconceito por serem gays e desejam mostrar que conseguem estar na corporação, além de merecerem respeito, ao tentarem prender a quadrilha Bando da Onça.</t>
  </si>
  <si>
    <t>Direção: Pedro Antônio | Roteiro: Fil Braz | Autores: Marcus Majella, Paulo Gustavo | Produção: Iafa Britz, Cecília Grosso, Luiz Noronha | Produtoras: Globo Filmes; Migdal Filmes | Elenco: Marcus Majella, Pedroca Monteiro, Dira Paes | Ano/País: 2026, Brasil | Gênero: Comédia / Aventura / Comédia policial</t>
  </si>
  <si>
    <t>158</t>
  </si>
  <si>
    <t>Anatomia do Caos</t>
  </si>
  <si>
    <t>Dandara Ferreira</t>
  </si>
  <si>
    <t>Com acesso inédito aos bastidores do Senado, a diretora Dandara Ferreira acompanha de perto a trajetória completa da CPI da Covid-19 e transforma imagens exclusivas em um retrato poderoso de um dos períodos mais turbulentos da história recente do Brasil. Entre depoimentos tensos, embates políticos, denúncias e revelações que mobilizaram o país, o documentário mergulha nos acontecimentos que marcaram a investigação sobre a condução da pandemia. Ao registrar reuniões, corredores e momentos decisivos sob uma perspectiva privilegiada, Anatomia do Caos constrói um panorama íntimo e impactante sobre poder, responsabilidade e memória coletiva. Mais do que revisitar os fatos, o filme busca compreender as feridas abertas por uma crise que mudou o país para sempre.</t>
  </si>
  <si>
    <t>Direção: Dandara Ferreira | Classificação indicativa: 12 anos. A programação do documento registra 88 min.</t>
  </si>
  <si>
    <t>159</t>
  </si>
  <si>
    <t>Antígona 442 a.C</t>
  </si>
  <si>
    <t>2021</t>
  </si>
  <si>
    <t>Drama</t>
  </si>
  <si>
    <t>Maurício Farias</t>
  </si>
  <si>
    <t>Andréa Beltrão</t>
  </si>
  <si>
    <t>Carmen Mello</t>
  </si>
  <si>
    <t>Produção inspirada na peça de Sófocles, na qual Antígona desafia o rei Creonte ao enterrar seu irmão morto, colocando em contraposição um ato sagrado e um ato político.</t>
  </si>
  <si>
    <t>Direção: Maurício Farias | Roteiro: Andréa Beltrão | Produção: Carmen Mello | Ano/País: 2021, Brasil | Gênero: Drama | Duração programada: 70 min</t>
  </si>
  <si>
    <t>160</t>
  </si>
  <si>
    <t>https://letterboxd.com/film/as-dores-do-mundo-hyldon/</t>
  </si>
  <si>
    <t>As dores do mundo: Hyldon</t>
  </si>
  <si>
    <t>Documentário / Musical</t>
  </si>
  <si>
    <t>Emílio Domingos, Felipe David Rodrigues</t>
  </si>
  <si>
    <t>Hyldon, Mano Brown, Carlinhos Brown, Michael Sullivan</t>
  </si>
  <si>
    <t>Documentário dirigido por Emílio Domingos sobre a vida e a obra do cantor e compositor Hyldon. O filme celebra os 50 anos do álbum Na Rua, Na Chuva, Na Fazenda e reconta a trajetória do menino vindo do sertão baiano que se tornou um dos maiores nomes da soul music brasileira.</t>
  </si>
  <si>
    <t>Direção: Emílio Domingos, Felipe David Rodrigues | Participações: Hyldon, Mano Brown, Carlinhos Brown, Michael Sullivan | Ano/País: 2025, Brasil | Gênero: Documentário / Musical | Duração informada: 90 min</t>
  </si>
  <si>
    <t>161</t>
  </si>
  <si>
    <t>(Des)controle</t>
  </si>
  <si>
    <t>Dramédia / Comédia Dramática</t>
  </si>
  <si>
    <t>Rosane Svartman, Carol Minêm</t>
  </si>
  <si>
    <t>Carolina Dieckmann, Caco Ciocler, Júlia Rabello, Daniel Filho, Irene Ravache, Mouhamed Harfouch</t>
  </si>
  <si>
    <t>Comédia dramática dirigida por Rosane Svartman e Carol Minêm e estrelada por Carolina Dieckmann. Acompanha Kátia Klein, uma escritora sobrecarregada pelo trabalho e por exigências familiares que, após 15 anos de sobriedade, volta a beber e perde o controle de sua vida.</t>
  </si>
  <si>
    <t>Direção: Rosane Svartman, Carol Minêm | Elenco: Carolina Dieckmann, Caco Ciocler, Júlia Rabello, Daniel Filho, Irene Ravache, Mouhamed Harfouch | Ano/País: 2025/2026, Brasil | Gênero: Dramédia / Comédia Dramática | Duração informada: 96 min</t>
  </si>
  <si>
    <t>162</t>
  </si>
  <si>
    <t>Eu e Meu Avô Nihonjin</t>
  </si>
  <si>
    <t>Animação / Drama</t>
  </si>
  <si>
    <t>Celia Catunda</t>
  </si>
  <si>
    <t>Ken Kaneko, Pietro Takeda, Robson Kumode, Li Martins, Edson Kameda</t>
  </si>
  <si>
    <t>Animação dirigida por Célia Catunda e adaptada da obra de Oscar Nakasato. Acompanha Noboru, garoto de 10 anos que convence o avô, Hideo, a revelar segredos do passado e descobre a existência de um tio até então desconhecido.</t>
  </si>
  <si>
    <t>Direção: Celia Catunda | Vozes: Ken Kaneko, Pietro Takeda, Robson Kumode, Li Martins, Edson Kameda | Ano/País: 2025, Brasil | Gênero: Animação / Drama | Duração informada: 84 min</t>
  </si>
  <si>
    <t>163</t>
  </si>
  <si>
    <t>https://letterboxd.com/film/homem-com-h/</t>
  </si>
  <si>
    <t>Homem com H</t>
  </si>
  <si>
    <t>Esmir Filho</t>
  </si>
  <si>
    <t>Paris Entretenimento</t>
  </si>
  <si>
    <t>Jesuíta Barbosa</t>
  </si>
  <si>
    <t>Desde uma infância reprimida até sua revolução artística, Ney Matogrosso transforma os palcos, e a si próprio, por meio da música, da criatividade e do seu entusiasmo.</t>
  </si>
  <si>
    <t>Direção: Esmir Filho | Produtora: Paris Entretenimento | Elenco: Jesuíta Barbosa | Ano/País: 2025, Brasil | Gênero: Documentário | Duração: 129 min | Contato: Paris Filmes</t>
  </si>
  <si>
    <t>164</t>
  </si>
  <si>
    <t>Kasa Branca</t>
  </si>
  <si>
    <t>Luciano Vidigal</t>
  </si>
  <si>
    <t>Big Jaum, Diego Francisco, Ramon Francisco, Teca Pereira, Gi Fernandes, Babu Santana</t>
  </si>
  <si>
    <t>Drama periférico poético dirigido por Luciano Vidigal. Centrado em Dé, um adolescente negro da periferia carioca que, ao saber do estágio terminal da doença de Alzheimer de sua avó, une forças com seus melhores amigos para proporcioná-la dias felizes e inesquecíveis.</t>
  </si>
  <si>
    <t>Direção: Luciano Vidigal | Elenco: Big Jaum, Diego Francisco, Ramon Francisco, Teca Pereira, Gi Fernandes, Babu Santana | Ano/País: 2024/2025, Brasil | Gênero: Drama | Duração informada: 95 min</t>
  </si>
  <si>
    <t>165</t>
  </si>
  <si>
    <t>https://letterboxd.com/film/love-kills-2024/</t>
  </si>
  <si>
    <t>Love Kills</t>
  </si>
  <si>
    <t>Terror / Suspense / Romance</t>
  </si>
  <si>
    <t>L.G. Tubaldini Jr.</t>
  </si>
  <si>
    <t>Filmland International</t>
  </si>
  <si>
    <t>L.G. Tubaldini Jr.; Andre Skaf; Edgard de Castro</t>
  </si>
  <si>
    <t>Jacob Solitrenick</t>
  </si>
  <si>
    <t>Thais Lago, Gabriel Stauffer, Erom Cordeiro, Tainá Medina, Marat Descartes, Kiko Pissolato</t>
  </si>
  <si>
    <t>No centro de São Paulo devastado pelo crack, uma jovem vampira, Helena, assombra um café sujo, cativando um garçom ingênuo. À medida que o garçom descobre os segredos dela, assim como o submundo da cidade, ele passa a ser atraído para um mundo perigoso de intrigas imortais, desafiando a própria mortalidade.</t>
  </si>
  <si>
    <t>Direção: L.G. Tubaldini Jr. | Produção: L.G. Tubaldini Jr., Andre Skaf, Edgard de Castro | Fotografia: Jacob Solitrenick | Direção de arte: Claudia Andrade | Produtora: Filmland International | Ano/País: 2025, Brasil | Duração: 97 min</t>
  </si>
  <si>
    <t>166</t>
  </si>
  <si>
    <t>https://letterboxd.com/film/malu-2024/</t>
  </si>
  <si>
    <t>Malu</t>
  </si>
  <si>
    <t>Pedro Freire</t>
  </si>
  <si>
    <t>Yara de Novaes, Carol Duarte, Juliana Carneiro da Cunha, Átila Bee, Marcio Vito</t>
  </si>
  <si>
    <t>Drama de Pedro Freire estrelado por Yara de Novaes. Retrata Malu, uma atriz de meia-idade com um passado glorioso enfrentando um caos existencial e conflitos profundos com sua mãe conservadora e sua filha já adulta em uma casa na favela.</t>
  </si>
  <si>
    <t>Direção: Pedro Freire | Elenco: Yara de Novaes, Carol Duarte, Juliana Carneiro da Cunha, Átila Bee, Marcio Vito | Ano/País: 2024, Brasil | Gênero: Drama | Duração informada: 100 min</t>
  </si>
  <si>
    <t>167</t>
  </si>
  <si>
    <t>https://letterboxd.com/film/manas-2024/</t>
  </si>
  <si>
    <t>Manas</t>
  </si>
  <si>
    <t>Marianna Brennand</t>
  </si>
  <si>
    <t>Canal Brasil; Fado Filmes; Globo Filmes</t>
  </si>
  <si>
    <t>Dira Paes; Jamilli Correa</t>
  </si>
  <si>
    <t>Marcielle, de 13 anos, vive em uma comunidade ribeirinha na Ilha do Marajó com o pai, a mãe e três irmãos. Instigada pelas falas da mãe, ela cultua a imagem de Claudinha, sua irmã mais velha, que partiu para longe após "arrumar um homem bom" nas balsas que passam pela região. Conforme amadurece, ela vê suas idealizações ruírem e fica presa em ambientes abusivos. Ciente de que o futuro não lhe reserva muitas opções, ela decide confrontar a engrenagem violenta que rege sua comunidade.</t>
  </si>
  <si>
    <t>Direção: Marianna Brennand | Produtoras: Canal Brasil; Fado Filmes; Globo Filmes | Elenco: Dira Paes; Jamilli Correa | Ano/País: 2024, Brasil | Duração: 107 min | Contato: Paris Filmes</t>
  </si>
  <si>
    <t>168</t>
  </si>
  <si>
    <t>https://letterboxd.com/film/milton-bituca-nascimento/</t>
  </si>
  <si>
    <t>Milton Bituca Nascimento</t>
  </si>
  <si>
    <t>Flávia Moraes</t>
  </si>
  <si>
    <t>Milton Nascimento; Fernanda Montenegro (narração)</t>
  </si>
  <si>
    <t>Documentário dirigido por Flávia Moraes sobre o ícone da MPB Milton Nascimento. Usando sua turnê de despedida como ponto de partida, investiga a carga espiritual, o impacto internacional e as raízes da música do compositor.</t>
  </si>
  <si>
    <t>Direção: Flávia Moraes | Participações: Milton Nascimento; Fernanda Montenegro (narração) | Ano/País: 2024, Brasil | Gênero: Documentário | Duração: 119 min</t>
  </si>
  <si>
    <t>169</t>
  </si>
  <si>
    <t>https://letterboxd.com/film/mussum-o-filmis/</t>
  </si>
  <si>
    <t>Mussum, o Filmis</t>
  </si>
  <si>
    <t>2023</t>
  </si>
  <si>
    <t>Cinebiografia / Comédia Dramática</t>
  </si>
  <si>
    <t>Silvio Guindane</t>
  </si>
  <si>
    <t>Aílton Graça, Yuri Marçal, Cacau Protásio, Neusa Borges, Gero Camilo, Thawan Lucas</t>
  </si>
  <si>
    <t>Cinebiografia dirigida por Silvio Guindane e estrelada por Aílton Graça. Narra a trajetória de Antônio Carlos Bernardes Gomes, desde a infância humilde, a passagem como sambista do grupo Os Originais do Samba até se consolidar como o memorável humorista d’Os Trapalhões.</t>
  </si>
  <si>
    <t>Direção: Silvio Guindane | Elenco: Aílton Graça, Yuri Marçal, Cacau Protásio, Neusa Borges, Gero Camilo, Thawan Lucas | Ano/País: 2023, Brasil | Gênero: Cinebiografia / Comédia Dramática | Duração: 121 min</t>
  </si>
  <si>
    <t>170</t>
  </si>
  <si>
    <t>O Diário de Pilar na Amazônia</t>
  </si>
  <si>
    <t>Aventura / Infantil</t>
  </si>
  <si>
    <t>Eduardo Vaisman, Rodrigo Van Der Put</t>
  </si>
  <si>
    <t>Lina Flor, Miguel Soares, Sophia Ataíde, Marcelo Adnet, Emílio Dantas, Babu Santana, Nanda Costa</t>
  </si>
  <si>
    <t>A curiosa Pilar viaja com seus amigos e uma rede mágica até a Amazônia. Lá, ajuda uma menina ribeirinha a reencontrar sua família e enfrenta ameaças ambientais com a ajuda de figuras folclóricas.</t>
  </si>
  <si>
    <t>Direção: Eduardo Vaisman, Rodrigo Van Der Put | Elenco: Lina Flor, Miguel Soares, Sophia Ataíde, Marcelo Adnet, Emílio Dantas, Babu Santana, Nanda Costa | Ano/País: 2025/2026, Brasil | Gênero: Aventura / Infantil | Duração: 90 min</t>
  </si>
  <si>
    <t>171</t>
  </si>
  <si>
    <t>O Último Azul</t>
  </si>
  <si>
    <t>Brasil, Chile, México, Países Baixos</t>
  </si>
  <si>
    <t>Ficção Científica / Drama Distópico</t>
  </si>
  <si>
    <t>Gabriel Mascaro</t>
  </si>
  <si>
    <t>Denise Weinberg, Rodrigo Santoro, Miriam Socarrás, Adanilo, Clarissa Pinheiro</t>
  </si>
  <si>
    <t>Ficção científica e drama distópico de Gabriel Mascaro, com Denise Weinberg e Rodrigo Santoro. Em um Brasil do futuro onde idosos são obrigatoriamente confinados em colônias pelo governo, uma mulher de 77 anos foge pelos rios amazônicos para realizar seu último desejo.</t>
  </si>
  <si>
    <t>Direção: Gabriel Mascaro | Elenco: Denise Weinberg, Rodrigo Santoro, Miriam Socarrás, Adanilo, Clarissa Pinheiro | Ano/País: 2025, Brasil, Chile, México, Países Baixos | Gênero: Ficção Científica / Drama Distópico | Duração: 86 min</t>
  </si>
  <si>
    <t>172</t>
  </si>
  <si>
    <t>O Último Episódio</t>
  </si>
  <si>
    <t>Comédia / Coming-of-Age</t>
  </si>
  <si>
    <t>Maurilio Martins</t>
  </si>
  <si>
    <t>Matheus Sampaio, Daniel Victor, Tatiane Costa, Rejane Faria, Leo de Albuquerque</t>
  </si>
  <si>
    <t>Comédia coming-of-age mineira do selo Filmes de Plástico. Para se aproximar de sua paixão platônica, o jovem Erik inventa possuir uma fita com o lendário capítulo final do desenho Caverna do Dragão e precisa se desdobrar com os amigos para sustentar a mentira.</t>
  </si>
  <si>
    <t>Direção: Maurilio Martins | Elenco: Matheus Sampaio, Daniel Victor, Tatiane Costa, Rejane Faria, Leo de Albuquerque | Ano/País: 2025, Brasil | Gênero: Ficção / Comédia / Coming-of-Age | Duração: 112 min</t>
  </si>
  <si>
    <t>173</t>
  </si>
  <si>
    <t>Os Enforcados</t>
  </si>
  <si>
    <t>Thriller / Suspense Neonegro</t>
  </si>
  <si>
    <t>Fernando Coimbra</t>
  </si>
  <si>
    <t>Leandra Leal, Irandhir Santos, Stepan Nercessian, Thiago Thomé, Irene Ravache</t>
  </si>
  <si>
    <t>Thriller neonegro e tragicômico de Fernando Coimbra, estrelado por Leandra Leal e Irandhir Santos. No Rio de Janeiro, um casal decide assassinar o tio influente no jogo do bicho para herdar os negócios, mas se afunda em uma espiral de dívidas, paranoia e tragédia.</t>
  </si>
  <si>
    <t>Direção: Fernando Coimbra | Elenco: Leandra Leal, Irandhir Santos, Stepan Nercessian, Thiago Thomé, Irene Ravache | Ano/País: 2024/2025, Brasil | Gênero: Thriller / Suspense Neonegro | Duração informada: 123 min</t>
  </si>
  <si>
    <t>174</t>
  </si>
  <si>
    <t>Pequenas Criaturas</t>
  </si>
  <si>
    <t>Anne Pinheiro Guimarães</t>
  </si>
  <si>
    <t>Carolina Dieckmann, Letícia Sabatella, Caco Ciocler, Michel Melamed, Théo Medon</t>
  </si>
  <si>
    <t>Drama dirigido por Anne Pinheiro Guimarães com Carolina Dieckmann. Em 1986, uma mãe e seus filhos se mudam para a recém-construída Brasília e enfrentam solidão e redescobertas num Brasil que também vivencia os incertos passos da redemocratização.</t>
  </si>
  <si>
    <t>Direção: Anne Pinheiro Guimarães | Elenco: Carolina Dieckmann, Letícia Sabatella, Caco Ciocler, Michel Melamed, Théo Medon | Ano/País: 2025/2026, Brasil | Gênero: Drama | Duração: 108 min</t>
  </si>
  <si>
    <t>175</t>
  </si>
  <si>
    <t>https://letterboxd.com/film/quinze-dias/</t>
  </si>
  <si>
    <t>Quinze Dias</t>
  </si>
  <si>
    <t>Romance / Comédia Dramática / LGBTQIAP+</t>
  </si>
  <si>
    <t>Daniel Lieff</t>
  </si>
  <si>
    <t>Miguel Lallo, Diego Lira, Débora Falabella, Mariana Santos, Olívia Araújo, Bel Moreira, Mika Soeiro</t>
  </si>
  <si>
    <t>Adaptação do livro de Vitor Martins, dirigida por Daniel Lieff. Felipe, um jovem gordo e tímido, planeja passar as férias escolares isolado em casa, até descobrir que Caio, o vizinho por quem tem uma paixão secreta, vai se hospedar com sua família por 15 dias.</t>
  </si>
  <si>
    <t>Direção: Daniel Lieff | Elenco: Miguel Lallo, Diego Lira, Débora Falabella, Mariana Santos, Olívia Araújo, Bel Moreira, Mika Soeiro | Ano/País: 2026, Brasil | Gênero: Romance / Comédia Dramática / LGBTQIAP+ | Duração informada: 100 min</t>
  </si>
  <si>
    <t>176</t>
  </si>
  <si>
    <t>https://letterboxd.com/film/rio-de-clarice/</t>
  </si>
  <si>
    <t>Rio de Clarice</t>
  </si>
  <si>
    <t>Drama / Antologia</t>
  </si>
  <si>
    <t>Maria Luiza Aboim, Barbara Kahane, Eunice Gutman, Nicole Algranti, Taciana Oliveira</t>
  </si>
  <si>
    <t>Vaneza Oliveira, Clarisse Derzié Luz, Karine Teles, entre outros</t>
  </si>
  <si>
    <t>Longa-metragem coletivo composto por cinco contos de Clarice Lispector adaptados por cinco diretoras. As histórias transpostas para cenários cariocas exploram a densidade psicológica e a busca por identidade e autodescoberta das personagens.</t>
  </si>
  <si>
    <t>Direção: Maria Luiza Aboim, Barbara Kahane, Eunice Gutman, Nicole Algranti, Taciana Oliveira | Elenco: Vaneza Oliveira, Clarisse Derzié Luz, Karine Teles, entre outros | Ano/País: 2026, Brasil | Gênero: Drama / Antologia | Duração informada: 81 min</t>
  </si>
  <si>
    <t>177</t>
  </si>
  <si>
    <t>Ritas</t>
  </si>
  <si>
    <t>Oswaldo Santana, Karen Harley</t>
  </si>
  <si>
    <t>Rita Lee (acervo e depoimentos)</t>
  </si>
  <si>
    <t>Documentário de Oswaldo Santana e Karen Harley dedicado a Rita Lee. Utiliza o acervo pessoal da artista e depoimentos para expor seu processo criativo, sua postura feminista no rock e sua constante reinvenção no palco.</t>
  </si>
  <si>
    <t>Direção: Oswaldo Santana, Karen Harley | Participações: Rita Lee (acervo e depoimentos) | Ano/País: 2025, Brasil | Gênero: Documentário / Musical | Duração: 83 min</t>
  </si>
  <si>
    <t>178</t>
  </si>
  <si>
    <t>https://letterboxd.com/film/salverosa/</t>
  </si>
  <si>
    <t>#SalveRosa</t>
  </si>
  <si>
    <t>Suspense Psicológico / Drama</t>
  </si>
  <si>
    <t>Susanna Lira</t>
  </si>
  <si>
    <t>Klara Castanho, Karine Teles, Ricardo Teodoro, Indira Nascimento, Alana Cabral</t>
  </si>
  <si>
    <t>Suspense dramático de Susanna Lira estrelado por Klara Castanho e Karine Teles. Acompanha Rosa, uma influenciadora digital adolescente hiperexposta na internet que, ao buscar respostas sobre o passado, descobre o controle excessivo e segredos de sua mãe superprotetora.</t>
  </si>
  <si>
    <t>Direção: Susanna Lira | Elenco: Klara Castanho, Karine Teles, Ricardo Teodoro, Indira Nascimento, Alana Cabral | Ano/País: 2025, Brasil | Gênero: Suspense Psicológico / Drama | Duração informada: 95 min</t>
  </si>
  <si>
    <t>179</t>
  </si>
  <si>
    <t>https://letterboxd.com/film/sexa/</t>
  </si>
  <si>
    <t>Sexa</t>
  </si>
  <si>
    <t>Comédia Romântica</t>
  </si>
  <si>
    <t>Gloria Pires</t>
  </si>
  <si>
    <t>Gloria Pires, Thiago Martins, Isabel Fillardis, Eri Johnson, Danilo Mesquita, Déa Lúcia</t>
  </si>
  <si>
    <t>Comédia romântica dirigida e estrelada por Gloria Pires. Prestes a abandonar a vida amorosa aos 60 anos, Bárbara se apaixona por um viúvo 25 anos mais jovem e precisa escolher entre romper padrões morais ou atender às expectativas da sociedade.</t>
  </si>
  <si>
    <t>Direção: Alê Camargo, Jordan Nugem | Vozes: elenco original de dublagem da série animada | Ano/País: 2025, Brasil | Gênero: Animação / Aventura Infantil | Duração: 78 min</t>
  </si>
  <si>
    <t>180</t>
  </si>
  <si>
    <t>Tainá e os Guardiões da Amazônia - Em busca da Flecha Azul</t>
  </si>
  <si>
    <t>Animação / Aventura Infantil</t>
  </si>
  <si>
    <t>Alê Camargo, Jordan Nugem</t>
  </si>
  <si>
    <t>elenco original de dublagem da série animada</t>
  </si>
  <si>
    <t>Animação derivada do universo da personagem Tainá. A indiazinha e seus amigos animais embarcam em uma jornada para encontrar o amuleto “Flecha Azul” e defender a floresta de uma grande ameaça.</t>
  </si>
  <si>
    <t>Direção: Alê Camargo, Jordan Nugem | Vozes: elenco original de dublagem da série animada | Ano/País: 2025, Brasil | Gênero: Animação / Aventura Infantil | Duração informada: 80 min</t>
  </si>
  <si>
    <t>181</t>
  </si>
  <si>
    <t>https://letterboxd.com/film/torre-das-donzelas/</t>
  </si>
  <si>
    <t>Torre das Donzelas</t>
  </si>
  <si>
    <t>2018</t>
  </si>
  <si>
    <t>Documentário / Histórico</t>
  </si>
  <si>
    <t>Dilma Rousseff, Rose Nogueira, Maria Luiza Bello, Rita Sipahi, entre outras ex-presas políticas</t>
  </si>
  <si>
    <t>Documentário de Susanna Lira que reúne relatos de ex-presas políticas da ditadura militar. As entrevistadas, entre elas a ex-presidente Dilma Rousseff, reconstroem a rotina, o companheirismo e as memórias do presídio Tiradentes.</t>
  </si>
  <si>
    <t>Direção: Susanna Lira | Depoimentos: Dilma Rousseff, Rose Nogueira, Maria Luiza Bello, Rita Sipahi, entre outras ex-presas políticas | Ano/País: 2018, Brasil | Gênero: Documentário / Histórico | Duração informada: 97 min</t>
  </si>
  <si>
    <t>182</t>
  </si>
  <si>
    <t>https://letterboxd.com/film/um-tio-quase-perfeito-2/</t>
  </si>
  <si>
    <t>Um Tio Quase Perfeito 2</t>
  </si>
  <si>
    <t>Comédia Infantil / Família</t>
  </si>
  <si>
    <t>Pedro Antônio Paes</t>
  </si>
  <si>
    <t>Marcus Majella, Danton Mello, Julia Svacina, Ana Lucia Torre, Fátima Bernardes</t>
  </si>
  <si>
    <t>Comédia estrelada por Marcus Majella. Tony, acostumado a ser o tio predileto das crianças, entra em desespero quando a irmã decide se casar com o “homem perfeito” e arma planos absurdos para desmascarar o noivo.</t>
  </si>
  <si>
    <t>Direção: Pedro Antônio Paes | Elenco: Marcus Majella, Danton Mello, Julia Svacina, Ana Lucia Torre, Fátima Bernardes | Ano/País: 2021, Brasil | Gênero: Comédia Infantil / Família | Duração: 93 min</t>
  </si>
  <si>
    <t>183</t>
  </si>
  <si>
    <t>https://letterboxd.com/film/velhos-bandidos/</t>
  </si>
  <si>
    <t>Velhos Bandidos</t>
  </si>
  <si>
    <t>Comédia de Ação / Assalto</t>
  </si>
  <si>
    <t>Cláudio Torres</t>
  </si>
  <si>
    <t>Fernanda Montenegro, Ary Fontoura, Bruna Marquezine, Vladimir Brichta, Lázaro Ramos, Reginaldo Faria, Vera Fischer, Nathalia Timberg</t>
  </si>
  <si>
    <t>Comédia de ação dirigida por Cláudio Torres, com Fernanda Montenegro e Ary Fontoura. Um casal de idosos decide planejar o assalto a banco perfeito e recruta dois jovens assaltantes para colocar o audacioso crime em prática.</t>
  </si>
  <si>
    <t>Direção: Cláudio Torres | Elenco: Fernanda Montenegro, Ary Fontoura, Bruna Marquezine, Vladimir Brichta, Lázaro Ramos, Reginaldo Faria, Vera Fischer, Nathalia Timberg | Ano/País: 2026, Brasil | Gênero: Comédia de Ação / Assalto | Duração informada: 94 min</t>
  </si>
  <si>
    <t>184</t>
  </si>
  <si>
    <t>https://letterboxd.com/film/vitoria-2025/</t>
  </si>
  <si>
    <t>Vitória</t>
  </si>
  <si>
    <t>Drama Biográfico / Policial</t>
  </si>
  <si>
    <t>Andrucha Waddington (e Breno Silveira, in memoriam)</t>
  </si>
  <si>
    <t>Fernanda Montenegro, Alan Rocha, Linn da Quebrada, Thawan Lucas</t>
  </si>
  <si>
    <t>Drama baseado na história real de Joana Zeferino da Paz, estrelado por Fernanda Montenegro e dirigido por Andrucha Waddington. Uma idosa solitária em Copacabana grava da janela do seu apartamento a rotina de traficantes de drogas, ajudando a polícia a desmantelar a quadrilha.</t>
  </si>
  <si>
    <t>Direção: Andrucha Waddington (e Breno Silveira, in memoriam) | Elenco: Fernanda Montenegro, Alan Rocha, Linn da Quebrada, Thawan Lucas | Ano/País: 2025, Brasil | Gênero: Drama Biográfico / Policial | Duração: 113 min</t>
  </si>
  <si>
    <t>185</t>
  </si>
  <si>
    <t>Xica da Silva</t>
  </si>
  <si>
    <t>1976</t>
  </si>
  <si>
    <t>Comédia Dramática Histórica</t>
  </si>
  <si>
    <t>Cacá Diegues (Carlos Diegues)</t>
  </si>
  <si>
    <t>Zezé Motta, Walmor Chagas, Altair Lima, Elke Maravilha, Stepan Nercessian, José Wilker</t>
  </si>
  <si>
    <t>Clássico do cinema brasileiro (1976) dirigido por Cacá Diegues e protagonizado por Zezé Motta. Narra a história real de Xica da Silva, escravizada do século XVIII que se torna uma mulher poderosa ao conquistar o contratador de diamantes João Fernandes de Oliveira.</t>
  </si>
  <si>
    <t>Direção: Cacá Diegues (Carlos Diegues) | Elenco: Zezé Motta, Walmor Chagas, Altair Lima, Elke Maravilha, Stepan Nercessian, José Wilker | Ano/País: 1976, Brasil | Gênero: Comédia Dramática Histórica | Duração: 107 min</t>
  </si>
  <si>
    <t>186</t>
  </si>
  <si>
    <t>Clássicos e Cults</t>
  </si>
  <si>
    <t>https://letterboxd.com/film/die-bettwurst/</t>
  </si>
  <si>
    <t>A Bettwurst</t>
  </si>
  <si>
    <t>Bettwurst, Die</t>
  </si>
  <si>
    <t>1970</t>
  </si>
  <si>
    <t>Rosa von Praunheim</t>
  </si>
  <si>
    <t>Rosa von Praunheim Film Production</t>
  </si>
  <si>
    <t>Rosa von Praunheim, Bernd Upnmoor</t>
  </si>
  <si>
    <t>Rosa von Praunheim, Gisela Bienert, Bernd Upnmoor</t>
  </si>
  <si>
    <t>Archive Recordings</t>
  </si>
  <si>
    <t>Luzy Kryn, Dietmar Kracht, Steven Adamczewski</t>
  </si>
  <si>
    <t>Na cidade portuária de Kiel, Luzi, uma secretária de meia-idade de origem pequeno-burguesa, conhece Dietmar, um jovem berlinense sem emprego fixo. Os dois se apaixonam e passam a construir uma relação marcada por pequenos rituais domésticos, passeios e fantasias de uma vida burguesa idealizada. A aparente tranquilidade do casal é interrompida quando antigos companheiros criminosos de Dietmar sequestram Luzi e tentam obrigá-lo a retomar sua antiga vida. O resultado é uma comédia camp, ao mesmo tempo grotesca e afetuosa, que parodia os modelos de amor, casamento e felicidade burguesa.</t>
  </si>
  <si>
    <t>Direção: Rosa von Praunheim | Roteiro: Rosa von Praunheim | Produtora: Rosa von Praunheim Film Production | Produção: Rosa von Praunheim | Fotografia: Rosa von Praunheim, Bernd Upnmoor | Montagem: Rosa von Praunheim, Gisela Bienert, Bernd Upnmoor | Música: Archive Recordings | Elenco: Luzy Kryn, Dietmar Kracht, Steven Adamczewski</t>
  </si>
  <si>
    <t>187</t>
  </si>
  <si>
    <t>https://letterboxd.com/film/the-swimming-pool/</t>
  </si>
  <si>
    <t>A Piscina</t>
  </si>
  <si>
    <t>Piscine, La</t>
  </si>
  <si>
    <t>1969</t>
  </si>
  <si>
    <t>Jacques Deray</t>
  </si>
  <si>
    <t>Jean-Emmanuel Conil, Jean-Claude Carrière, Jacques Deray</t>
  </si>
  <si>
    <t>Tritone Cinematografica, Company - Snc</t>
  </si>
  <si>
    <t>Gérard Beytout</t>
  </si>
  <si>
    <t>Jean-Jacques Tarbes</t>
  </si>
  <si>
    <t>Paul Cayatte</t>
  </si>
  <si>
    <t>Michel Legrand</t>
  </si>
  <si>
    <t>Alain Delon, Jane Birkin, Maurice Ronet, Romy Schneider</t>
  </si>
  <si>
    <t>Na ensolarada Riviera Francesa, os amantes Jean-Paul e Marianne se entregam à calma e à languidez do verão à beira de uma luxuosa piscina. Mas o idílio é interrompido pela chegada de Harry, ex-amante de Marianne, e de sua sedutora filha, Penelope. A partir daí, uma tensão crescente de desejo, rivalidade e ciúme transforma as férias em um jogo perigoso. Alain Delon, Romy Schneider, Maurice Ronet e Jane Birkin formam o elenco deste clássico cult de Jacques Deray, um thriller psicológico magistral, sucesso de bilheteria e símbolo do cinema europeu sensual.</t>
  </si>
  <si>
    <t>Direção: Eleanor Coppola | Elenco/Participações: Sofia Coppola, Kirsten Dunst, Jason Schwartzman, Eleanor Coppola | Ano/País: 2026, Estados Unidos | Gênero: Documentário / Bastidores | Duração: 86 min</t>
  </si>
  <si>
    <t>188</t>
  </si>
  <si>
    <t>https://letterboxd.com/film/the-rebellion/</t>
  </si>
  <si>
    <t>A Rebelião</t>
  </si>
  <si>
    <t>Rebellion, Die</t>
  </si>
  <si>
    <t>Áustria</t>
  </si>
  <si>
    <t>1993</t>
  </si>
  <si>
    <t>Michael Haneke</t>
  </si>
  <si>
    <t>Wega Film</t>
  </si>
  <si>
    <t>Jiří Štíbr</t>
  </si>
  <si>
    <t>Marie Homolkova</t>
  </si>
  <si>
    <t>Branko Samarovski, Judit Pogány, Thierry van Werveke, August Schmölzer, Johannes Silberschneider, Ulrich Reinthaller, Christian Spatzek, Georges Kern, Marinus Brand, Götz Kauffmann, Georg Trenkwitz, Karl Ferdinand Kratzl, Marcus Thill, Josef Kemr, Udo Samel</t>
  </si>
  <si>
    <t>Viena, após a I Guerra Mundial. Andreas Pum retorna sem uma perna, mas com uma medalha e fé na autoridade do Estado. Mas a perda de liberdade e dignidade vai testar sua crença na ordem até o limite da rebeldia. Este filme para televisão de 1993 recebeu diversos prêmios.</t>
  </si>
  <si>
    <t>Direção: Michael Haneke | Roteiro: Michael Haneke | Produtora: Wega Film | Fotografia: Jiří Štíbr | Montagem: Marie Homolkova | Elenco: Branko Samarovski, Judit Pogány, Thierry van Werveke, August Schmölzer, Johannes Silberschneider, Ulrich Reinthaller, Christian Spatzek, Georges Kern, Marinus Brand, Götz Kauffmann, Georg Trenkwitz, Karl Ferdinand Kratzl, Marcus Thill, Josef Kemr, Udo Samel</t>
  </si>
  <si>
    <t>189</t>
  </si>
  <si>
    <t>https://letterboxd.com/film/the-visit-1964/</t>
  </si>
  <si>
    <t>A Visita da Velha Senhora</t>
  </si>
  <si>
    <t>visite de la vieille dame, La</t>
  </si>
  <si>
    <t>1971</t>
  </si>
  <si>
    <t>Alberto Cavalcanti</t>
  </si>
  <si>
    <t>Jean-Pierre Porret</t>
  </si>
  <si>
    <t>André Bac</t>
  </si>
  <si>
    <t>Mary Marquet, Louis Arbessier, Pierre Asso, Jean Tissier, Paul Demange, Sacha Briquet</t>
  </si>
  <si>
    <t>Décadas depois de ter deixado sua cidade natal completamente humilhada, Clara retorna imensamente rica. À população, que está mergulhada na miséria, ela oferece uma fortuna, mas com uma condição: a morte de Alfred, o homem que a abandonou na juventude e negou a paternidade de seu filho. Os moradores rejeitam a proposta, mas logo começam a gastar como se o dinheiro já estivesse garantido. Adaptado da peça de Friedrich Dürrenmatt, o filme expõe o preço da justiça, da vingança e da consciência coletiva.</t>
  </si>
  <si>
    <t>Direção: Alberto Cavalcanti | Roteiro: Jean-Pierre Porret | Fotografia: André Bac | Elenco: Mary Marquet, Louis Arbessier, Pierre Asso, Jean Tissier, Paul Demange, Sacha Briquet</t>
  </si>
  <si>
    <t>190</t>
  </si>
  <si>
    <t>https://letterboxd.com/film/tough-love-2015/</t>
  </si>
  <si>
    <t>Amor Bruto</t>
  </si>
  <si>
    <t>Härte</t>
  </si>
  <si>
    <t>2015</t>
  </si>
  <si>
    <t>Jürgen Lemke, Nico Woche, Rosa von Praunheim</t>
  </si>
  <si>
    <t>Andreas Wolter</t>
  </si>
  <si>
    <t>Nicolai Zörn, Elfi Mikesch</t>
  </si>
  <si>
    <t>Mike Shephard</t>
  </si>
  <si>
    <t>Hanno Koffler, Luise Heyer, Katy Karrenbauer, Rüdiger Götze, Ilse Bendin</t>
  </si>
  <si>
    <t>Andreas Marquardt cresceu sob a violência do pai e os abusos sexuais da mãe. Adulto, tornou-se campeão de karatê e um dos cafetões mais violentos de Berlim. Alternando entrevistas com cenas encenadas, Rosa von Praunheim acompanha sua trajetória até a prisão e a tentativa de romper um ciclo de violência. Ao seu lado, Marion permanece uma presença decisiva, embora também tenha sofrido com seus atos.</t>
  </si>
  <si>
    <t>Direção: Rosa von Praunheim | Roteiro: Jürgen Lemke, Nico Woche, Rosa von Praunheim | Produção: Andreas Wolter | Fotografia: Nicolai Zörn, Elfi Mikesch | Montagem: Mike Shephard | Elenco: Hanno Koffler, Luise Heyer, Katy Karrenbauer, Rüdiger Götze, Ilse Bendin</t>
  </si>
  <si>
    <t>191</t>
  </si>
  <si>
    <t>https://letterboxd.com/film/reverse-angle/</t>
  </si>
  <si>
    <t>Ângulo Inverso</t>
  </si>
  <si>
    <t>Reverse Angle: Ein Brief aus New York</t>
  </si>
  <si>
    <t>1982</t>
  </si>
  <si>
    <t>Wim Wenders</t>
  </si>
  <si>
    <t>Gray City Inc.</t>
  </si>
  <si>
    <t>Chris Sievernich; Wim Wenders</t>
  </si>
  <si>
    <t>Lisa Rinzler</t>
  </si>
  <si>
    <t>Jon Neuburger</t>
  </si>
  <si>
    <t>Primeiro filme-diário de Wim Wenders, realizado durante uma temporada em Nova York. Entre a montagem do filme (1982), a música new wave, Edward Hopper e caminhadas pela cidade, o cineasta reflete sobre fazer cinema na Europa e nos Estados Unidos.</t>
  </si>
  <si>
    <t>Direção: Wim Wenders | Roteiro: Wim Wenders | Produtora: Gray City Inc. | Produção: Chris Sievernich, Wim Wenders | Fotografia: Lisa Rinzler | Montagem: Jon Neuburger | Contato: Salaud Morisset</t>
  </si>
  <si>
    <t>192</t>
  </si>
  <si>
    <t>https://letterboxd.com/film/the-story-of-film-an-odyssey/</t>
  </si>
  <si>
    <t>Capítulo 1: Primórdios – anos 1920: Relatos de Viagem, Poder e Povo</t>
  </si>
  <si>
    <t>Mark Cousins</t>
  </si>
  <si>
    <t>Capítulo dedicado às origens do documentário, ao nascimento do registro do real e à captura do cotidiano.</t>
  </si>
  <si>
    <t>Direção: Mark Cousins | Duração informada: 60 min</t>
  </si>
  <si>
    <t>193</t>
  </si>
  <si>
    <t>Capítulo 11 – Anos 1990: Consagração</t>
  </si>
  <si>
    <t>Capítulo sobre as fronteiras borradas entre ficção e não-ficção e o uso de reconstituições no cinema documental.</t>
  </si>
  <si>
    <t>Direção: Mark Cousins | Duração informada: 59 min</t>
  </si>
  <si>
    <t>194</t>
  </si>
  <si>
    <t>Capítulo 12 – Anos 2000: Um Dia em Setembro</t>
  </si>
  <si>
    <t>Capítulo voltado a vozes marginais e ao impacto das mídias comunitárias e alternativas no documentário.</t>
  </si>
  <si>
    <t>Direção: Mark Cousins | Duração informada: 58 min</t>
  </si>
  <si>
    <t>195</t>
  </si>
  <si>
    <t>https://letterboxd.com/film/the-story-of-film-a-new-generation/</t>
  </si>
  <si>
    <t>Capítulo 16 – Anos 2020: Tudo o que Respira</t>
  </si>
  <si>
    <t>Capítulo sobre a era digital, a proliferação das mídias sociais e as novas perspectivas do documentário contemporâneo.</t>
  </si>
  <si>
    <t>Direção: Mark Cousins | Duração informada: 64 min</t>
  </si>
  <si>
    <t>196</t>
  </si>
  <si>
    <t>Capítulo 5: Anos 1960: A Recusa em Obedecer</t>
  </si>
  <si>
    <t>Capítulo sobre a consolidação do cinema direto, do cinéma vérité e o impacto das câmeras portáteis na linguagem documental.</t>
  </si>
  <si>
    <t>197</t>
  </si>
  <si>
    <t>Capítulo 9 – Anos 1980: Detetives</t>
  </si>
  <si>
    <t>Capítulo que aborda o documentário como arma política e ensaio pessoal nos anos 1970 e 1980.</t>
  </si>
  <si>
    <t>198</t>
  </si>
  <si>
    <t>https://letterboxd.com/film/city-of-lost-souls/</t>
  </si>
  <si>
    <t>Cidade das almas perdidas</t>
  </si>
  <si>
    <t>Stadt der verlorenen Seelen</t>
  </si>
  <si>
    <t>1983</t>
  </si>
  <si>
    <t>Sender Freies Berlin, Hessian Broadcasting Corporation, Rosa von Praunheim Film Production</t>
  </si>
  <si>
    <t>Stephan Koester</t>
  </si>
  <si>
    <t>Holger Münzer</t>
  </si>
  <si>
    <t>Angie Stardust, Jayne County, Judith Flex, Gary Miller</t>
  </si>
  <si>
    <t>Na Berlim dividida dos anos 1980, Angie Stardust administra uma pensão e uma lanchonete que reúnem artistas, imigrantes e figuras da cena queer. Entre os hóspedes está Lila, que sonha com uma carreira no cinema. Canções, encontros e desavenças dão forma a este musical irreverente que mistura ficção e experiências de seus intérpretes para retratar uma comunidade que inventa seu próprio espaço na cidade.</t>
  </si>
  <si>
    <t>Direção: Rosa von Praunheim | Roteiro: Rosa von Praunheim | Produtora: Sender Freies Berlin, Hessian Broadcasting Corporation, Rosa von Praunheim Film Production | Fotografia: Stephan Koester | Montagem: Rosa von Praunheim | Música: Holger Münzer | Elenco: Angie Stardust, Jayne County, Judith Flex, Gary Miller</t>
  </si>
  <si>
    <t>199</t>
  </si>
  <si>
    <t>https://letterboxd.com/film/desert-hearts/</t>
  </si>
  <si>
    <t>Corações Desertos</t>
  </si>
  <si>
    <t>Desert Hearts</t>
  </si>
  <si>
    <t>1985</t>
  </si>
  <si>
    <t>Donna Deitch</t>
  </si>
  <si>
    <t>Natalie Cooper</t>
  </si>
  <si>
    <t>Janus Films</t>
  </si>
  <si>
    <t>Robert Elswit</t>
  </si>
  <si>
    <t>Robert Estrin</t>
  </si>
  <si>
    <t>Helen Shaver, Patricia Charbonneau, Audra Lindley</t>
  </si>
  <si>
    <t>Reno, 1959. A reservada professora nova-iorquina Vivian Bell chega a Nevada para se divorciar, mas o encontro com Cay, uma jovem de espírito livre, desperta nela um desejo inesperado. Adaptado do cultuado romance de Jane Rule, o primeiro longa de Donna Deitch se revela como uma lenta sedução sensual em meio às deslumbrantes paisagens do deserto. Com a química ardente de Helen Shaver e Patricia Charbonneau, uma trilha sonora marcante e fotografia vibrante, este clássico pioneiro do cinema queer celebra o amor entre mulheres com rara ternura e franqueza.</t>
  </si>
  <si>
    <t>Direção: Donna Deitch | Roteiro: Natalie Cooper | Produtora: Janus Films | Produção: Donna Deitch | Fotografia: Robert Elswit | Montagem: Robert Estrin | Elenco: Helen Shaver, Patricia Charbonneau, Audra Lindley</t>
  </si>
  <si>
    <t>200</t>
  </si>
  <si>
    <t>https://letterboxd.com/film/lemmings-part-1-arcadia/</t>
  </si>
  <si>
    <t>Lêmingues, parte I: Arcádia</t>
  </si>
  <si>
    <t>Lemminge, Teil 1: Arkadien</t>
  </si>
  <si>
    <t>1979</t>
  </si>
  <si>
    <t>Wolfgang Ainberger, Jens-Peter Behrend, Robert Siepen</t>
  </si>
  <si>
    <t>Walter Kindler, Jerzy Lipman</t>
  </si>
  <si>
    <t>Alexander Steinbrecher, Franz Schubert, Ludwig van Beethoven</t>
  </si>
  <si>
    <t>Regina Sattler, Christian Ingomar, Eva Linder, Paulus Manker, Bernhard Wicki, Elisabeth Orth, Hilde Berger, Kurt Sowinetz, Greta Zimmer, Ingrid Burkhardt, Kurt Nachmann, Rudolf Wessely</t>
  </si>
  <si>
    <t>Anos 1950. Um grupo de adolescentes cresce sob a autoridade de pais marcados pela guerra e pelo passado fascista da Áustria. Incapazes de encontrar afeto ou um futuro em seu mundo burguês, os jovens transformam o tédio, a raiva e o desejo de liberdade em sexo, transgressão e violência.</t>
  </si>
  <si>
    <t>Direção: Michael Haneke | Roteiro: Michael Haneke | Produção: Wolfgang Ainberger, Jens-Peter Behrend, Robert Siepen | Fotografia: Walter Kindler, Jerzy Lipman | Montagem: Marie Homolkova | Música: Alexander Steinbrecher, Franz Schubert, Ludwig van Beethoven | Elenco: Regina Sattler, Christian Ingomar, Eva Linder, Paulus Manker, Bernhard Wicki, Elisabeth Orth, Hilde Berger, Kurt Sowinetz, Greta Zimmer, Ingrid Burkhardt, Kurt Nachmann, Rudolf Wessely</t>
  </si>
  <si>
    <t>201</t>
  </si>
  <si>
    <t>https://letterboxd.com/film/lemmings-part-2-injuries/</t>
  </si>
  <si>
    <t>Lêmingues, parte II: Feridas</t>
  </si>
  <si>
    <t>Lemmings, Teil 2: Verletzungen</t>
  </si>
  <si>
    <t>Jerzy Lipman</t>
  </si>
  <si>
    <t>Johann Sebastian Bach</t>
  </si>
  <si>
    <t>Monica Bleibtreu, Elfriede Irrall, Rüdiger Hacker, Wolfgang Hübsch, David Haneke, Norbert Kappen, Guido Wieland, Vera Borek, Wolfgang Gasser, Julia Gschnitzer</t>
  </si>
  <si>
    <t>Vinte anos depois, os adolescentes rebeldes tornaram-se adultos presos a casamentos infelizes, relações frágeis e uma rotina dominada pela solidão. Tentando construir vínculos no mundo indiferente que herdaram, percebem que reproduzem a mesma violência emocional e o conformismo que desprezavam nos pais.</t>
  </si>
  <si>
    <t>Direção: Michael Haneke | Roteiro: Michael Haneke | Fotografia: Jerzy Lipman | Montagem: Marie Homolkova | Música: Johann Sebastian Bach | Elenco: Monica Bleibtreu, Elfriede Irrall, Rüdiger Hacker, Wolfgang Hübsch, David Haneke, Norbert Kappen, Guido Wieland, Vera Borek, Wolfgang Gasser, Julia Gschnitzer</t>
  </si>
  <si>
    <t>202</t>
  </si>
  <si>
    <t>Minhas mães – Em Busca de rastros em riga</t>
  </si>
  <si>
    <t>Meine Mütter - Spurensuche in Riga</t>
  </si>
  <si>
    <t>2007</t>
  </si>
  <si>
    <t>Alemanha, Letônia</t>
  </si>
  <si>
    <t>Elfi Mikesch</t>
  </si>
  <si>
    <t>Mike Shephard Música/ Music: Andreas Wolter</t>
  </si>
  <si>
    <t>Rosa von Praunheim, Gertrud Mischwitzky, Astrid Ruschlau, Ludwig Norz, Anita Kugler, Chris Kraus</t>
  </si>
  <si>
    <t>Aos 60 anos, Rosa von Praunheim descobre que Gertrud, a mulher que o criou, o havia adotado em um orfanato de Riga. Após a morte dela, inicia uma busca por seus pais biológicos e pela própria identidade. Uma jornada íntima que também interroga o passado alemão e o lugar de sua família nessa história.</t>
  </si>
  <si>
    <t>Direção: Rosa von Praunheim | Roteiro: Rosa von Praunheim | Produtora: Rosa von Praunheim Film Production | Produção: Rosa von Praunheim | Fotografia: Elfi Mikesch | Montagem: Mike Shephard Música/ Music: Andreas Wolter | Elenco: Rosa von Praunheim, Gertrud Mischwitzky, Astrid Ruschlau, Ludwig Norz, Anita Kugler, Chris Kraus</t>
  </si>
  <si>
    <t>203</t>
  </si>
  <si>
    <t>https://letterboxd.com/film/mysterious-skin/</t>
  </si>
  <si>
    <t>Mistérios da Carne</t>
  </si>
  <si>
    <t>Mysterious Skin</t>
  </si>
  <si>
    <t>2004</t>
  </si>
  <si>
    <t>Antidote Films, Fortissimo Films, Desperate Pictures</t>
  </si>
  <si>
    <t>Gregg Araki, Jeffrey Kusama-Hinte, Mary Jane Skalski</t>
  </si>
  <si>
    <t>Steve Gainer</t>
  </si>
  <si>
    <t>Joseph Gordon- Levitt, Elisabeth Shue, Michelle Trachtenberg, Brady Corbet</t>
  </si>
  <si>
    <t>No interior do Kansas, Neil e Brian carregam as marcas de um acontecimento vivido aos oito anos. Dez anos depois, Neil transforma o desejo e o risco em modo de vida, enquanto Brian, assombrado por um vazio na memória, acredita ter sido abduzido por alienígenas. Quando os caminhos deles voltam a se cruzar, as versões que construíram sobre o passado começam também a ruir. Adaptado do romance de Scott Heim, um retrato delicado e perturbador sobre trauma, desejo e sobrevivência. Marco do cinema independente dos anos 2000, integrou a mostra Orizzonti de Veneza em 2004.</t>
  </si>
  <si>
    <t>Direção: Gregg Araki | Roteiro: Gregg Araki | Produtora: Antidote Films, Fortissimo Films, Desperate Pictures | Produção: Gregg Araki, Jeffrey Kusama-Hinte, Mary Jane Skalski | Fotografia: Steve Gainer | Montagem: Gregg Araki | Elenco: Joseph Gordon- Levitt, Elisabeth Shue, Michelle Trachtenberg, Brady Corbet</t>
  </si>
  <si>
    <t>204</t>
  </si>
  <si>
    <t>https://letterboxd.com/film/it-is-not-the-homosexual-who-is-perverse-but-the-society-in-which-he-lives/</t>
  </si>
  <si>
    <t>Não É o Homossexual Que É Perverso, Mas a Situação Em Que Ele Vive</t>
  </si>
  <si>
    <t>Nicht der Homosexuelle ist pervers, sondern die Situation, in der er lebt</t>
  </si>
  <si>
    <t>Bavaria Atelier Gmbh</t>
  </si>
  <si>
    <t>Werner Kliess</t>
  </si>
  <si>
    <t>Robert van Ackeren, Rosa von Praunheim</t>
  </si>
  <si>
    <t>Jean-Claude Peroué</t>
  </si>
  <si>
    <t>Bernd Feuerhelm, Berryt Bohlen, Ernst Kuchling, Dietmar Kracht, Steven Adamczewski, Manfred Salzgeber</t>
  </si>
  <si>
    <t>Recém-chegado do interior a Berlim, Daniel se apaixona por Clemens. Após a separação, explora a cena gay da cidade, entre descobertas, violência e discriminação. Ao conhecer Paul e os homens com quem ele divide uma casa, entra em contato com novas formas de convivência e militância. Crítico da opressão social e dos padrões reproduzidos pela própria comunidade, o filme estreou no Fórum da Berlinale em 1971 e ajudou a impulsionar o movimento gay na Alemanha Ocidental.</t>
  </si>
  <si>
    <t>Direção: Rosa von Praunheim | Produtora: Bavaria Atelier Gmbh | Produção: Werner Kliess | Fotografia: Robert van Ackeren, Rosa von Praunheim | Montagem: Jean-Claude Peroué | Música: Archive Recordings | Elenco: Bernd Feuerhelm, Berryt Bohlen, Ernst Kuchling, Dietmar Kracht, Steven Adamczewski, Manfred Salzgeber</t>
  </si>
  <si>
    <t>205</t>
  </si>
  <si>
    <t>O Einstein do Sexo</t>
  </si>
  <si>
    <t>Einstein des Sex, Der</t>
  </si>
  <si>
    <t>Chris Kraus, Valentin Passoni</t>
  </si>
  <si>
    <t>Karl-Ernst Sasse</t>
  </si>
  <si>
    <t>Kai Schuhmann, Friedel Freiherr von Wangenheim, Ben Becker</t>
  </si>
  <si>
    <t>Um retrato do sexólogo Magnus Hirschfeld (1868–1935), pioneiro judeu e homossexual da pesquisa sobre sexualidade e da luta pela emancipação política dos homossexuais. Em 1897, funda o Comitê Científico-Humanitário e se posiciona contra a criminalização da homossexualidade pelo Parágrafo 175. Após a chegada dos nazistas ao poder, o instituto é destruído, Hirschfeld parte para o exílio e morre na França em 1935.</t>
  </si>
  <si>
    <t>Direção: Rosa von Praunheim | Roteiro: Chris Kraus, Valentin Passoni | Produtora: Rosa von Praunheim Film Production | Produção: Rosa von Praunheim | Fotografia: Elfi Mikesch | Montagem: Mike Shephard | Música: Karl-Ernst Sasse | Elenco: Kai Schuhmann, Friedel Freiherr von Wangenheim, Ben Becker</t>
  </si>
  <si>
    <t>206</t>
  </si>
  <si>
    <t>https://letterboxd.com/film/same-player-shoots-again/</t>
  </si>
  <si>
    <t>O Mesmo Jogador Atira Novamente</t>
  </si>
  <si>
    <t>Same Player Shoots Again</t>
  </si>
  <si>
    <t>1967</t>
  </si>
  <si>
    <t>Wim Wenders Produktion</t>
  </si>
  <si>
    <t>Hanns Zischler</t>
  </si>
  <si>
    <t>Um homem armado corre pela rua, talvez ferido. O mesmo plano de três minutos se repete cinco vezes, tingido de uma cor diferente a cada passagem. Como numa máquina de pinball, cada nova tentativa transforma a ação e a percepção do tempo.</t>
  </si>
  <si>
    <t>Direção: Wim Wenders | Roteiro: Wim Wenders | Produtora: Wim Wenders Produktion | Produção: Wim Wenders | Fotografia: Wim Wenders | Montagem: Wim Wenders | Elenco: Hanns Zischler | Contato: Salaud Morisset</t>
  </si>
  <si>
    <t>207</t>
  </si>
  <si>
    <t>Programa de Curtas Wim Wenders</t>
  </si>
  <si>
    <t>Mostra Retrospectiva / Curtas-Metragens. A programação do documento registra 111 min.</t>
  </si>
  <si>
    <t>Programa especial que reúne a produção em curta-metragem do cineasta alemão Wim Wenders, destacando experimentações estéticas e narrativas do início e de momentos marcantes de sua carreira.</t>
  </si>
  <si>
    <t>Direção: Wim Wenders | Gênero: Mostra Retrospectiva / Curtas-Metragens. A programação do documento registra 111 min.</t>
  </si>
  <si>
    <t>208</t>
  </si>
  <si>
    <t>https://letterboxd.com/film/room-666/</t>
  </si>
  <si>
    <t>Quarto 666</t>
  </si>
  <si>
    <t>Chambre 666</t>
  </si>
  <si>
    <t>Chris Sievernich</t>
  </si>
  <si>
    <t>Agnès Godard</t>
  </si>
  <si>
    <t>Chantal de Vismes</t>
  </si>
  <si>
    <t>Jürgen Knieper</t>
  </si>
  <si>
    <t>Jean-Luc Godard, Werner Herzog, Steven Spielberg, Yilmaz Güney, Michelangelo Antonioni, R. W. Fassbinder</t>
  </si>
  <si>
    <t>No Festival de Cannes de 1982, Wenders filma cineastas como Godard, Ana Carolina, Werner Herzog, Antonioni e Spielberg no quarto 666 de um hotel. Diante da câmera, eles devem responder à pergunta inquietante: o cinema é uma arte prestes a desaparecer?</t>
  </si>
  <si>
    <t>Direção: Wim Wenders | Produtora: Gray City Inc. | Produção: Chris Sievernich | Fotografia: Agnès Godard | Montagem: Chantal de Vismes | Música: Jürgen Knieper | Elenco: Jean-Luc Godard, Werner Herzog, Steven Spielberg, Yilmaz Güney, Michelangelo Antonioni, R. W. Fassbinder</t>
  </si>
  <si>
    <t>209</t>
  </si>
  <si>
    <t>https://letterboxd.com/film/silver-city-revisited/</t>
  </si>
  <si>
    <t>Silver City Revisitada</t>
  </si>
  <si>
    <t>Silver City Revisited</t>
  </si>
  <si>
    <t>1968</t>
  </si>
  <si>
    <t>Em longos planos de ruas, interiores e vistas de apartamentos, Wenders observa uma Munique quase deserta. Ao som de antigos discos de 78 rotações, o filme transforma espaços cotidianos numa paisagem urbana feita de silêncio e memória.</t>
  </si>
  <si>
    <t>Direção: Wim Wenders | Alemanha | 1968 | Documentário | 33 min | Classificação indicativa: 12 anos</t>
  </si>
  <si>
    <t>210</t>
  </si>
  <si>
    <t>https://letterboxd.com/film/survival-in-new-york/</t>
  </si>
  <si>
    <t>Sobrevivendo em Nova York</t>
  </si>
  <si>
    <t>Überleben in New York</t>
  </si>
  <si>
    <t>1989</t>
  </si>
  <si>
    <t>Rosa von Praunheim, Claudia Steinberg</t>
  </si>
  <si>
    <t>West German Broadcasting, Rosa von Praunheim Film Production</t>
  </si>
  <si>
    <t>Jeff Preiss Montagem/ Editing: Mike Shephard, Rosa von Praunheim</t>
  </si>
  <si>
    <t>Roy Campbell</t>
  </si>
  <si>
    <t>Ulrike Buschbacher, Anna Steegmann, Claudia Steinberg</t>
  </si>
  <si>
    <t>Ulli, Anna e Claudia deixaram a Alemanha para viver em Nova York. Entre trabalhos, amores e dificuldades, as três contam o que encontraram na cidade e o que precisaram fazer para permanecer nela. Acompanhando suas rotinas por ambientes muito diferentes, Rosa von Praunheim constrói um retrato das imigrantes e de uma Nova York tão fascinante quanto dura.</t>
  </si>
  <si>
    <t>Direção: Rosa von Praunheim | Roteiro: Rosa von Praunheim, Claudia Steinberg | Produtora: West German Broadcasting, Rosa von Praunheim Film Production | Produção: Rosa von Praunheim | Fotografia: Jeff Preiss Montagem/ Editing: Mike Shephard, Rosa von Praunheim | Música: Roy Campbell | Elenco: Ulrike Buschbacher, Anna Steegmann, Claudia Steinberg</t>
  </si>
  <si>
    <t>211</t>
  </si>
  <si>
    <t>The Story of Documentary Film - Programa I</t>
  </si>
  <si>
    <t>Série Documental sobre a História e Linguagem do Cinema Documental</t>
  </si>
  <si>
    <t>Parte da série documental de Mark Cousins que mapeia a história, as técnicas e as revoluções da linguagem documental pelo mundo. O Programa I reúne capítulos iniciais do percurso histórico apresentado pela série.</t>
  </si>
  <si>
    <t>Direção: Mark Cousins | Ano/País: 2024–2025, Reino Unido | Gênero: Série Documental sobre a História e Linguagem do Cinema Documental | Duração informada: 120 min</t>
  </si>
  <si>
    <t>212</t>
  </si>
  <si>
    <t>The Story of Documentary Film - Programa II</t>
  </si>
  <si>
    <t>Parte da série documental de Mark Cousins que mapeia a história, as técnicas e as revoluções da linguagem documental pelo mundo. O Programa II reúne capítulos intermediários desse percurso histórico e estético.</t>
  </si>
  <si>
    <t>Direção: Mark Cousins | Ano/País: 2024–2025, Reino Unido | Gênero: Série Documental sobre a História e Linguagem do Cinema Documental | Duração informada: 123 min</t>
  </si>
  <si>
    <t>213</t>
  </si>
  <si>
    <t>The Story of Documentary Film - Programa III</t>
  </si>
  <si>
    <t>Parte da série documental de Mark Cousins que mapeia a história, as técnicas e as revoluções da linguagem documental pelo mundo. O Programa III reúne capítulos mais recentes desse percurso, chegando às transformações contemporâneas do documentário.</t>
  </si>
  <si>
    <t>Direção: Mark Cousins | Ano/País: 2024–2025, Reino Unido | Gênero: Série Documental sobre a História e Linguagem do Cinema Documental | Duração informada: 122 min</t>
  </si>
  <si>
    <t>214</t>
  </si>
  <si>
    <t>https://letterboxd.com/film/three-paths-to-the-lake/</t>
  </si>
  <si>
    <t>Três Caminhos para o Lago</t>
  </si>
  <si>
    <t>Drei Wege zum See</t>
  </si>
  <si>
    <t>Ingeborg Bachmann, Michael Haneke</t>
  </si>
  <si>
    <t>Rolf von Sydow</t>
  </si>
  <si>
    <t>Igor Luther</t>
  </si>
  <si>
    <t>Helga Scharf</t>
  </si>
  <si>
    <t>Ursula Schult, Guido Wieland, Walter Schmidinger, Bernhard Wicki, Yves Beneyton, Udo Vioff, Dieter Wernecke, Rainer von Artenfels, Jane Tilden, Pamela White, Michael Gspandl, Axel Corti, Pierre Brechignac, Mathieu Chardet</t>
  </si>
  <si>
    <t>Ao completar 50 anos, a fotógrafa de guerra Elisabeth Matrei deixa Paris e vai visitar o pai no interior da Áustria. Lugares do passado despertam memórias da infância, relacionamentos fracassados e ideais corroídos. Adaptado de um conto de Ingeborg Bachmann.</t>
  </si>
  <si>
    <t>Direção: Michael Haneke | Roteiro: Ingeborg Bachmann, Michael Haneke | Produção: Rolf von Sydow | Fotografia: Igor Luther | Montagem: Helga Scharf | Elenco: Ursula Schult, Guido Wieland, Walter Schmidinger, Bernhard Wicki, Yves Beneyton, Udo Vioff, Dieter Wernecke, Rainer von Artenfels, Jane Tilden, Pamela White, Michael Gspandl, Axel Corti, Pierre Brechignac, Mathieu Chardet</t>
  </si>
  <si>
    <t>215</t>
  </si>
  <si>
    <t>Midnight Movies</t>
  </si>
  <si>
    <t>A Mãe Bruxa</t>
  </si>
  <si>
    <t>Motherwitch</t>
  </si>
  <si>
    <t>Canadá + 3 países</t>
  </si>
  <si>
    <t>Canadá, Chipre, Estados Unidos, Macedônia</t>
  </si>
  <si>
    <t>Minos Papas</t>
  </si>
  <si>
    <t>Evripidis Dikaios, Nikolas Kouroumtzis, Minos Papas</t>
  </si>
  <si>
    <t>Focus Pocus Films, New York, Cyprian Film, Caretta Films</t>
  </si>
  <si>
    <t>Constantinos Nikiforou, Minos Papas</t>
  </si>
  <si>
    <t>Jack Mcdonald</t>
  </si>
  <si>
    <t>Smaro Papaevangelou</t>
  </si>
  <si>
    <t>Charles Humenry</t>
  </si>
  <si>
    <t>Margarita Zachariou, Miltos Yerolemou, Athos Antoniou, Christina Marouchou, Danae Katsameni, Dimitri Andreas, Marina Makris</t>
  </si>
  <si>
    <t>No Chipre do século XIX, sob domínio britânico, a pintora Eleni perde os três filhos em um acidente e é rejeitada pelos moradores, que a acusam de amaldiçoar o vilarejo. Isolada pelo luto, ela conhece Michalakis, um menino talentoso submetido à violência do pai. Juntos, tentam realizar um ritual capaz de ressuscitar as crianças, mas despertam criaturas ancestrais do folclore cipriota. Entre horror e fábula, o filme explora maternidade, criação artística e redenção. Exibido na mostra Harbour do Festival de Roterdã 2026.</t>
  </si>
  <si>
    <t>Direção: Minos Papas | Roteiro: Evripidis Dikaios, Nikolas Kouroumtzis, Minos Papas | Produtora: Focus Pocus Films, New York, Cyprian Film, Caretta Films | Produção: Constantinos Nikiforou, Minos Papas | Fotografia: Jack Mcdonald | Montagem: Smaro Papaevangelou | Música: Charles Humenry | Elenco: Margarita Zachariou, Miltos Yerolemou, Athos Antoniou, Christina Marouchou, Danae Katsameni, Dimitri Andreas, Marina Makris</t>
  </si>
  <si>
    <t>216</t>
  </si>
  <si>
    <t>https://letterboxd.com/film/hope-2026/</t>
  </si>
  <si>
    <t>Hope - O Primeiro Impacto</t>
  </si>
  <si>
    <t>Hopeu</t>
  </si>
  <si>
    <t>Na Hong-Jin</t>
  </si>
  <si>
    <t>Forged Films</t>
  </si>
  <si>
    <t>Na Hong-Jin, Saemi Kim, Saerom Kim</t>
  </si>
  <si>
    <t>Hong Kyung-Pyo</t>
  </si>
  <si>
    <t>Sunmin Kim</t>
  </si>
  <si>
    <t>Michael Abels</t>
  </si>
  <si>
    <t>Alicia Vikander, Cameron Britton, Hoyeon, Hwang Jung-Min, Michael Fassbender, Taylor Russell, Zo In-Sung</t>
  </si>
  <si>
    <t>No vilarejo remoto de Hope Harbor, na Coreia do Sul, uma criatura desconhecida deixa um rastro de destruição e mergulha a comunidade em pânico. Enquanto o chefe de polícia e uma jovem agente tentam compreender o ocorrido, um grupo de caçadores se embrenha na floresta em busca de respostas. Com suspense crescente, ação vertiginosa e humor insólito, o medo do desconhecido vira um espetáculo de proporções épicas, no qual nenhuma percepção é inteiramente confiável. Competição oficial do Festival de Cannes 2026, onde foi um dos filmes mais comentados e longamente ovacionado.</t>
  </si>
  <si>
    <t>Direção: Na Hong-Jin | Roteiro: Na Hong-Jin | Produtora: Forged Films | Produção: Na Hong-Jin, Saemi Kim, Saerom Kim | Fotografia: Hong Kyung-Pyo | Montagem: Sunmin Kim | Música: Michael Abels | Elenco: Alicia Vikander, Cameron Britton, Hoyeon, Hwang Jung-Min, Michael Fassbender, Taylor Russell, Zo In-Sung</t>
  </si>
  <si>
    <t>217</t>
  </si>
  <si>
    <t>https://letterboxd.com/film/jim-queen/</t>
  </si>
  <si>
    <t>Jim Queen</t>
  </si>
  <si>
    <t>Jim Queen à la recherche de la Chloroqueer</t>
  </si>
  <si>
    <t>França, Bélgica</t>
  </si>
  <si>
    <t>Midnight Screenings</t>
  </si>
  <si>
    <t>Marco Nguyen, Nicolas Athane</t>
  </si>
  <si>
    <t>Simon Balteaux, Marco Nguyen, Nicolas Athané, Brice Chevillard</t>
  </si>
  <si>
    <t>Bobbypills, Umedia</t>
  </si>
  <si>
    <t>David Alric, Arthur Delabays</t>
  </si>
  <si>
    <t>Ivy Buirette</t>
  </si>
  <si>
    <t>Mathieu Rosenzwig, Benjamin Nakache</t>
  </si>
  <si>
    <t>Vozes de Alex Ramirès, Jérémy Gillet, Shirley Souagnon, François Sagat, Elisabeth Wiener</t>
  </si>
  <si>
    <t>Jim é um influenciador musculoso e ícone da cena gay parisiense. Seu mundo desmorona quando ele contrai a Heterose, um vírus misterioso que transforma homens gays em heterossexuais. Quando todos lhe viram as costas, resta apenas Lucien, um jovem admirador que ainda tenta se aceitar. Juntos, atravessam uma Paris delirante em busca da cura capaz de salvar Jim e impedir a extinção da homossexualidade. A irreverente animação adulta teve estreia mundial nas Sessões da Meia-Noite do Festival de Cannes 2026, onde foi indicado à Palma Queer.</t>
  </si>
  <si>
    <t>Direção: Marco Nguyen, Nicolas Athane | Roteiro: Simon Balteaux, Marco Nguyen, Nicolas Athané, Brice Chevillard | Produtora: Bobbypills, Umedia | Produção: David Alric, Arthur Delabays | Montagem: Ivy Buirette | Música: Mathieu Rosenzwig, Benjamin Nakache | Elenco: Vozes de Alex Ramirès, Jérémy Gillet, Shirley Souagnon, François Sagat, Elisabeth Wiener</t>
  </si>
  <si>
    <t>218</t>
  </si>
  <si>
    <t>https://letterboxd.com/film/leviticus-2026/</t>
  </si>
  <si>
    <t>Leviticus</t>
  </si>
  <si>
    <t>Austrália</t>
  </si>
  <si>
    <t>Midnight</t>
  </si>
  <si>
    <t>Adrian Chiarella</t>
  </si>
  <si>
    <t>Salmira Productions, Causeway Films</t>
  </si>
  <si>
    <t>Samantha Jennings, Kristina Ceyton, Hannah Ngo</t>
  </si>
  <si>
    <t>Tyson Perkins, Paul Descau</t>
  </si>
  <si>
    <t>Nick Fenton</t>
  </si>
  <si>
    <t>Jed Kurzel</t>
  </si>
  <si>
    <t>Joe Bird, Stacy Clausen, Mia Wasikowska, Davida Mckenzie, Ewen Leslie, Jeremy Blewitt, Zahra Newman</t>
  </si>
  <si>
    <t>Dois garotos adolescentes precisam escapar de um monstro violento capaz de se transformar na pessoa que a vítima mais deseja no mundo. Por estarem apaixonados, a criatura assume a aparência de um para atrair o outro, transformando o afeto em uma armadilha de sobrevivência. Misturando terror psicológico e romance queer, o longa-metragem foi exibido na mostra Midnight do Festival de Sundance 2026.</t>
  </si>
  <si>
    <t>Direção: Adrian Chiarella | Roteiro: Adrian Chiarella | Produtora: Salmira Productions, Causeway Films | Produção: Samantha Jennings, Kristina Ceyton, Hannah Ngo | Fotografia: Tyson Perkins, Paul Descau | Montagem: Nick Fenton | Música: Jed Kurzel | Elenco: Joe Bird, Stacy Clausen, Mia Wasikowska, Davida Mckenzie, Ewen Leslie, Jeremy Blewitt, Zahra Newman</t>
  </si>
  <si>
    <t>219</t>
  </si>
  <si>
    <t>https://letterboxd.com/film/mum-im-alien-pregnant/</t>
  </si>
  <si>
    <t>Mãe, Engravidei de um Alien</t>
  </si>
  <si>
    <t>Mum, I’m Alien Pregnant</t>
  </si>
  <si>
    <t>Nova Zelândia</t>
  </si>
  <si>
    <t>Thunderlips</t>
  </si>
  <si>
    <t>Xyz Films, Hot Candle Wave, Umbrella</t>
  </si>
  <si>
    <t>Alix Whittaker, Morgan Leigh Stewart, Ilai Amar</t>
  </si>
  <si>
    <t>Bayley Broome-Peake</t>
  </si>
  <si>
    <t>Dream Chambers</t>
  </si>
  <si>
    <t>Hannah Lynch, Yvette Parsons, Arlo Green, Jackie van Beek, Jonny Brugh, Karen O'leary, Ariadne Baltazar, Angella Dravid, Renee Lyons, Ian Mune, Donogh Rees, Brenda Kendall, Fasitua Amosa, Rashmi Pilapitiya</t>
  </si>
  <si>
    <t>Mary é uma millennial desorganizada que mora com a mãe e não sabe o que fazer da vida. Após um encontro sexual desastroso com o vizinho, descobre que carrega um feto extraterrestre de crescimento acelerado. Entre médicos incrédulos, um futuro pai inútil, uma mãe sem filtros e transformações corporais bizarras, ela precisa retomar o controle do corpo e da vida. Com humor neozelandês, efeitos práticos e muita gosma, a comédia transforma os horrores da gestação em ficção científica delirante. Estreia mundial na mostra Midnight do Festival de Sundance 2026.</t>
  </si>
  <si>
    <t>Direção: Thunderlips | Roteiro: Thunderlips | Produtora: Xyz Films, Hot Candle Wave, Umbrella | Produção: Alix Whittaker, Morgan Leigh Stewart, Ilai Amar | Fotografia: Bayley Broome-Peake | Montagem: Thunderlips | Música: Dream Chambers | Elenco: Hannah Lynch, Yvette Parsons, Arlo Green, Jackie van Beek, Jonny Brugh, Karen O'leary, Ariadne Baltazar, Angella Dravid, Renee Lyons, Ian Mune, Donogh Rees, Brenda Kendall, Fasitua Amosa, Rashmi Pilapitiya</t>
  </si>
  <si>
    <t>220</t>
  </si>
  <si>
    <t>https://letterboxd.com/film/arrested-memory/</t>
  </si>
  <si>
    <t>Memória sob Custódia</t>
  </si>
  <si>
    <t>Āzīhâimò jǐngtàn</t>
  </si>
  <si>
    <t>Sabu</t>
  </si>
  <si>
    <t>Fourier Films, Lhb Films</t>
  </si>
  <si>
    <t>Roger Huang, Shozo Ichiyama, Justine O.</t>
  </si>
  <si>
    <t>Jai Ip</t>
  </si>
  <si>
    <t>Matthieu Laclau</t>
  </si>
  <si>
    <t>Junichi Matsumoto</t>
  </si>
  <si>
    <t>Ethan Juan, Moon Lee, Hsieh Ying Xuan, Shinichi Tsutsumi, Reika Kirishima, Daisuke Tsukahara, Huang Teng Hui</t>
  </si>
  <si>
    <t>Lee, célebre detetive da polícia de Taipei, é transferido para uma pequena cidade depois de perder toda a sua equipe durante uma investigação. Atormentado pela culpa, ele começa a sofrer lapsos de memória, mas decide esconder sua condição. Quando o filho de um influente empresário japonês é sequestrado, Lee recebe a missão de encontrá-lo. Com as lembranças cada vez mais fragmentadas, terá de confiar nos próprios instintos para seguir o rastro dos criminosos. Exibido no Festival de Veneza 2026.</t>
  </si>
  <si>
    <t>Direção: Sabu | Roteiro: Sabu | Produtora: Fourier Films, Lhb Films | Produção: Roger Huang, Shozo Ichiyama, Justine O. | Fotografia: Jai Ip | Montagem: Matthieu Laclau | Música: Junichi Matsumoto | Elenco: Ethan Juan, Moon Lee, Hsieh Ying Xuan, Shinichi Tsutsumi, Reika Kirishima, Daisuke Tsukahara, Huang Teng Hui</t>
  </si>
  <si>
    <t>221</t>
  </si>
  <si>
    <t>Sanguínea</t>
  </si>
  <si>
    <t>Sanguine</t>
  </si>
  <si>
    <t>Marion le Coroller</t>
  </si>
  <si>
    <t>Marion le Corroller, Thomas Pujol</t>
  </si>
  <si>
    <t>Windy Production</t>
  </si>
  <si>
    <t>Carole Lambert, Windy Production</t>
  </si>
  <si>
    <t>Guillaume Schiffman</t>
  </si>
  <si>
    <t>Jérôme Eltabet</t>
  </si>
  <si>
    <t>Sonia Faïdi, Karin Viard, Kim Higelin, Mara Taquin, Sami Outalbali, Stefan Crepon</t>
  </si>
  <si>
    <t>Margot sempre sonhou em ser médica. Ao tentar acompanhar o ritmo exaustivo do pronto-socorro onde começa a trabalhar, a jovem interna atende pacientes de sua idade com sintomas peculiares. A recorrência desses casos incomuns a intriga, ainda mais quando ela nota mudanças cada vez mais preocupantes em seu próprio corpo. Exibido na mostra Midnight Screenings do Festival de Cannes 2026.</t>
  </si>
  <si>
    <t>Direção: Marion le Coroller | Roteiro: Marion le Corroller, Thomas Pujol | Produtora: Windy Production | Produção: Carole Lambert, Windy Production | Fotografia: Guillaume Schiffman | Montagem: Jérôme Eltabet | Elenco: Sonia Faïdi, Karin Viard, Kim Higelin, Mara Taquin, Sami Outalbali, Stefan Crepon</t>
  </si>
  <si>
    <t>222</t>
  </si>
  <si>
    <t>https://letterboxd.com/film/her-private-hell-2026/</t>
  </si>
  <si>
    <t>Seu Inferno Particular</t>
  </si>
  <si>
    <t>Her Private Hell</t>
  </si>
  <si>
    <t>Dinamarca, Estados Unidos</t>
  </si>
  <si>
    <t>Fora de Competição</t>
  </si>
  <si>
    <t>Nicolas Winding Refn</t>
  </si>
  <si>
    <t>Nicolas Winding Refn, Esti Giordani</t>
  </si>
  <si>
    <t>Pillow, Bynwr, Neon</t>
  </si>
  <si>
    <t>Magnus Nordenhof Jønck</t>
  </si>
  <si>
    <t>Matthew Newman</t>
  </si>
  <si>
    <t>Pino Donaggio</t>
  </si>
  <si>
    <t>Sophie Thatcher, Charles Melton, Havana Rose Liu, Kristine Froseth, Shioli Kutsuna, Aoi Yamada, Dougray Scott</t>
  </si>
  <si>
    <t>Enquanto uma névoa misteriosa envolve uma metrópole futurista e libera uma presença mortal e indescritível, uma jovem atormentada parte em busca de seu pai. Nessa jornada, seu destino se cruza com o de um soldado americano que está em uma viagem desesperada para resgatar a filha do inferno.</t>
  </si>
  <si>
    <t>Direção: Nicolas Winding Refn | Roteiro: Nicolas Winding Refn, Esti Giordani | Produtora: Pillow, Bynwr, Neon | Produção: Nicolas Winding Refn | Fotografia: Magnus Nordenhof Jønck | Montagem: Matthew Newman | Música: Pino Donaggio | Elenco: Sophie Thatcher, Charles Melton, Havana Rose Liu, Kristine Froseth, Shioli Kutsuna, Aoi Yamada, Dougray Scott</t>
  </si>
  <si>
    <t>223</t>
  </si>
  <si>
    <t>Zona Zero</t>
  </si>
  <si>
    <t>Gun-Che</t>
  </si>
  <si>
    <t>Yeon Sang-Ho</t>
  </si>
  <si>
    <t>Yeon Sang-Ho, Choi Gyu-Seok</t>
  </si>
  <si>
    <t>Yoomin Hailey Yang, Sung Joon-Ho</t>
  </si>
  <si>
    <t>Han Mi-Yeon</t>
  </si>
  <si>
    <t>Chai Min-Joo</t>
  </si>
  <si>
    <t>Gianna Jun, Koo Kyo-Hwan, Ji Chang-Wook, Kim Shin-Rock, Shin Hyun-Been, Go Soo</t>
  </si>
  <si>
    <t>Durante uma conferência de biotecnologia em um arranha-céu de Seul, a professora Se-jeong presencia a liberação de um vírus que sofre mutações rápidas. Enquanto os infectados se transformam e desenvolvem uma aterrorizante inteligência coletiva, as autoridades isolam o prédio, deixando os sobreviventes presos com uma ameaça em constante evolução. Estreia mundial nas Sessões da Meia-Noite do Festival de Cannes 2026.</t>
  </si>
  <si>
    <t>Direção: Yeon Sang-Ho | Roteiro: Yeon Sang-Ho, Choi Gyu-Seok | Produção: Yoomin Hailey Yang, Sung Joon-Ho | Fotografia: Han Mi-Yeon | Montagem: Han Mi-Yeon | Música: Chai Min-Joo | Elenco: Gianna Jun, Koo Kyo-Hwan, Ji Chang-Wook, Kim Shin-Rock, Shin Hyun-Been, Go Soo</t>
  </si>
  <si>
    <t>224</t>
  </si>
  <si>
    <t>O Estado das Coisas</t>
  </si>
  <si>
    <t>https://letterboxd.com/film/bucks-harbor/</t>
  </si>
  <si>
    <t>Bucks Harbor</t>
  </si>
  <si>
    <t>Pete Muller</t>
  </si>
  <si>
    <t>2 Wolves Films</t>
  </si>
  <si>
    <t>Pete Muller, Nathan Golon, Noel Paul</t>
  </si>
  <si>
    <t>Nathan Golon, Pete Muller, Mark Unger</t>
  </si>
  <si>
    <t>Noel Paul</t>
  </si>
  <si>
    <t>Nikolaj Hess, Hiss Golden Messenger</t>
  </si>
  <si>
    <t>No extremo leste do Maine, os jovens são moldados por invernos brutais, pela colheita das riquezas do oceano e pelos códigos rígidos de seus pais. O documentário explora o amadurecimento em uma comunidade onde o valor de um homem é frequentemente definido pela força do seu trabalho. Exibido no Festival de Berlim 2026.</t>
  </si>
  <si>
    <t>Direção: Pete Muller | Produtora: 2 Wolves Films | Produção: Pete Muller, Nathan Golon, Noel Paul | Fotografia: Nathan Golon, Pete Muller, Mark Unger | Montagem: Noel Paul | Música: Nikolaj Hess, Hiss Golden Messenger</t>
  </si>
  <si>
    <t>225</t>
  </si>
  <si>
    <t>Holy Wood Dust</t>
  </si>
  <si>
    <t>Itália, Espanha, Alemanha</t>
  </si>
  <si>
    <t>Victor Kossakovsky</t>
  </si>
  <si>
    <t>Stefano Mancuso, Viktor Kossakovsky</t>
  </si>
  <si>
    <t>Be Water Film, Solaria Film, Rai Cinema</t>
  </si>
  <si>
    <t>Mattia Guerra, Emanuele Nespeca</t>
  </si>
  <si>
    <t>Gianmarco Donaggio</t>
  </si>
  <si>
    <t>Ainara Vera</t>
  </si>
  <si>
    <t>Adrian Berenguer</t>
  </si>
  <si>
    <t>Stefano Mancuso</t>
  </si>
  <si>
    <t>Todos os anos, milhões de pinheiros são derrubados, cortados, enfeitados para o Natal e, pouco depois, descartados. Ao lado do botânico Stefano Mancuso, o diretor Victor Kossakovsky acompanha o percurso dessas árvores, desde as florestas devastadas dos Alpes aos centros urbanos. Entre ironia e deslumbramento, o filme revela a sensibilidade, a memória e as formas de comunicação do mundo vegetal, convidando-nos a repensar radicalmente nossa relação com as árvores. Estreia no Festival de Veneza 2026.</t>
  </si>
  <si>
    <t>Direção: Victor Kossakovsky | Roteiro: Stefano Mancuso, Viktor Kossakovsky | Produtora: Be Water Film, Solaria Film, Rai Cinema | Produção: Mattia Guerra, Emanuele Nespeca | Fotografia: Gianmarco Donaggio | Montagem: Ainara Vera | Música: Adrian Berenguer | Elenco: Stefano Mancuso</t>
  </si>
  <si>
    <t>226</t>
  </si>
  <si>
    <t>https://letterboxd.com/film/what-comes-from-sitting-in-silence/</t>
  </si>
  <si>
    <t>O Que Você Ganha Ficando em Silêncio?</t>
  </si>
  <si>
    <t>What Comes from Sitting in Silence?</t>
  </si>
  <si>
    <t>Coreia do Sul + 3 países</t>
  </si>
  <si>
    <t>Coreia do Sul, França, Suíça Estados Unidos</t>
  </si>
  <si>
    <t>Sophie Schrago</t>
  </si>
  <si>
    <t>Hutong Productions</t>
  </si>
  <si>
    <t>Pauline Tran van Lieu, Lucie Rego</t>
  </si>
  <si>
    <t>Isidore Bethel</t>
  </si>
  <si>
    <t>Em uma pequena sala comercial no populoso bairro de Naupada, em Mumbai, Khatoon dirige o primeiro tribunal feminino da cidade. Uma das primeiras juízas da lei islâmica na Índia, ela orienta casais em crise e mulheres que fogem de abusos, sempre com sabedoria e serenidade. Ao acompanhar seu cotidiano, o filme mostra como esse tribunal improvisado oferece às muçulmanas um raro espaço de fala, revolta e busca por justiça, e como a determinação de uma única mulher pode provocar mudanças revolucionárias. Prêmio Especial do Júri no festival Visions du Réel, na Suíça.</t>
  </si>
  <si>
    <t>Direção: Sophie Schrago | Produtora: Hutong Productions | Produção: Pauline Tran van Lieu, Lucie Rego | Fotografia: Sophie Schrago | Montagem: Isidore Bethel</t>
  </si>
  <si>
    <t>227</t>
  </si>
  <si>
    <t>Pela Vida</t>
  </si>
  <si>
    <t>Ömür Boyu</t>
  </si>
  <si>
    <t>Turquia + 1 país</t>
  </si>
  <si>
    <t>Turquia, Palestina</t>
  </si>
  <si>
    <t>Ahmet Seven</t>
  </si>
  <si>
    <t>Trt - Turkish Radio Television Corporation</t>
  </si>
  <si>
    <t>Aslihan Eker Çakmak, Choylin Mok, Mustafa Koç</t>
  </si>
  <si>
    <t>Latifa Abdel Latif, Fuad Hindieh, Afif Amireh</t>
  </si>
  <si>
    <t>Ahmet Seven, Omar Nabil</t>
  </si>
  <si>
    <t>Hind Mashahra, Fathia Safadi, Sanna Daqqa, Majad Hadnawi</t>
  </si>
  <si>
    <t>Há mais de duas décadas, o casamento de Hind é marcado pela falta, pois o marido cumpre prisão perpétua numa cadeia em Israel. Agora, ela embarca em uma jornada secreta e arriscada para contrabandear o sêmen dele, passando por checkpoints. Enquanto uma rede clandestina torna o impossível possível, a busca de Hind pela maternidade colide com a realidade política. O filme transforma uma batalha pessoal num ato de resistência, revelando como o amor, o desejo e a esperança persistem apesar do horror da ocupação.</t>
  </si>
  <si>
    <t>Direção: Ahmet Seven | Produtora: Trt - Turkish Radio Television Corporation | Produção: Aslihan Eker Çakmak, Choylin Mok, Mustafa Koç | Fotografia: Latifa Abdel Latif, Fuad Hindieh, Afif Amireh | Montagem: Ahmet Seven, Omar Nabil | Elenco: Hind Mashahra, Fathia Safadi, Sanna Daqqa, Majad Hadnawi</t>
  </si>
  <si>
    <t>228</t>
  </si>
  <si>
    <t>https://letterboxd.com/film/traces-2026/</t>
  </si>
  <si>
    <t>Traços da Guerra</t>
  </si>
  <si>
    <t>Traces</t>
  </si>
  <si>
    <t>Ucrânia + 1 país</t>
  </si>
  <si>
    <t>Ucrânia, Polônia</t>
  </si>
  <si>
    <t>Alisa Kovalenko, Marysia Nikitiuk</t>
  </si>
  <si>
    <t>Alisa Kovalenko</t>
  </si>
  <si>
    <t>2brave Productions</t>
  </si>
  <si>
    <t>Olha Bregman, Natalia Libet</t>
  </si>
  <si>
    <t>Nikon Romanchenko, Alisa Kovalenko, Milenia Fiedler</t>
  </si>
  <si>
    <t>Iryna Dovhan, Tetiana Vasylenko, Liudmyla Mefodiivna, Galyna Tyshchenko, Olha Cherniak, Nina</t>
  </si>
  <si>
    <t>Mulheres ucranianas que sobreviveram à violência sexual e à tortura durante a guerra da Rússia se negam a permanecer em silêncio. No centro delas está Iryna Dovhan, ex-prisioneira e líder da SEMA Ucrânia, que reúne testemunhos de outras vítimas. Ao revelar a violência sexual como arma sistemática de guerra, este impactante documentário compõe um retrato coletivo do trauma, da resistência e da solidariedade — e também de sobreviventes que transformam a dor em força, recuperam suas vozes e exigem justiça. Prêmio do Público na Mostra Panorama da Berlinale 2026.</t>
  </si>
  <si>
    <t>Direção: Alisa Kovalenko, Marysia Nikitiuk | Roteiro: Alisa Kovalenko | Produtora: 2brave Productions | Produção: Olha Bregman, Natalia Libet | Fotografia: Alisa Kovalenko | Montagem: Nikon Romanchenko, Alisa Kovalenko, Milenia Fiedler | Elenco: Iryna Dovhan, Tetiana Vasylenko, Liudmyla Mefodiivna, Galyna Tyshchenko, Olha Cherniak, Nina</t>
  </si>
  <si>
    <t>229</t>
  </si>
  <si>
    <t>https://letterboxd.com/film/one-in-a-million-2026/</t>
  </si>
  <si>
    <t>Uma em Um Milhão</t>
  </si>
  <si>
    <t>One in a Million</t>
  </si>
  <si>
    <t>Reino Unido, Estados Unidos</t>
  </si>
  <si>
    <t>Jack Macinnes, Itab Azzam</t>
  </si>
  <si>
    <t>Will Anderson, Andrew Palmer, James Bluemel, Raney Aronson-Rath</t>
  </si>
  <si>
    <t>Will Pugh</t>
  </si>
  <si>
    <t>Iain Pettifer-Moth, Alec Rossiter</t>
  </si>
  <si>
    <t>Simon Russell</t>
  </si>
  <si>
    <t>Filmado ao longo de dez anos, o documentário acompanha Israa dos 11 anos à vida adulta, em uma jornada extraordinária da Síria à Alemanha e de volta à Síria. Longe do país que foi obrigada a deixar, ela atravessa a adolescência entre a guerra, o exílio e novas liberdades, sem romper com as tradições sírias. Um retrato íntimo do amadurecimento e da experiência dos refugiados, atravessado por uma pergunta universal: o que faz de um lugar um lar? Vencedor dos prêmios de Direção e do Público no Festival de Sundance 2026.</t>
  </si>
  <si>
    <t>Direção: Jack Macinnes, Itab Azzam | Produção: Will Anderson, Andrew Palmer, James Bluemel, Raney Aronson-Rath | Fotografia: Will Pugh | Montagem: Iain Pettifer-Moth, Alec Rossiter | Música: Simon Russell</t>
  </si>
  <si>
    <t>230</t>
  </si>
  <si>
    <t>Première Brasil</t>
  </si>
  <si>
    <t>100 Dias</t>
  </si>
  <si>
    <t>Carlos Saldanha</t>
  </si>
  <si>
    <t>Elena Soarez, Thais Tavares</t>
  </si>
  <si>
    <t>Ventre Studio, Trema Filmes, Boipeba Filmes</t>
  </si>
  <si>
    <t>Paula Cosenza, Justine Otondo, João Queiroz Filho</t>
  </si>
  <si>
    <t>Rodrigo Monte, ABC</t>
  </si>
  <si>
    <t>Fernando Stutz</t>
  </si>
  <si>
    <t>Tuomas Kantelinen</t>
  </si>
  <si>
    <t>Duda Mamberti, Felipe Camargo, Filipe Bragança, João Vitor Silva, Martha Nowill, Philippine Leroy-Beaulieu</t>
  </si>
  <si>
    <t>Sozinho em um pequeno barco, Amyr Klink desafia o Atlântico Sul a remo e escreve uma história que nunca havia sido tentada. A travessia entre a África e o Brasil se transforma em uma batalha contra o medo, a solidão e os próprios limites. Enquanto o corpo resiste ao mar, a mente enfrenta memórias, conflitos familiares e escolhas que moldaram quem ele é. Mais do que cruzar um oceano, Amyr precisa atravessar a si mesmo.</t>
  </si>
  <si>
    <t>Direção: Carlos Saldanha | Roteiro: Elena Soarez, Thais Tavares | Produtora: Ventre Studio, Trema Filmes, Boipeba Filmes | Produção: Paula Cosenza, Justine Otondo, João Queiroz Filho | Fotografia: Rodrigo Monte, ABC | Montagem: Fernando Stutz | Música: Tuomas Kantelinen | Elenco: Duda Mamberti, Felipe Camargo, Filipe Bragança, João Vitor Silva, Martha Nowill, Philippine Leroy-Beaulieu</t>
  </si>
  <si>
    <t>231</t>
  </si>
  <si>
    <t>144 – Apocalipse Não</t>
  </si>
  <si>
    <t>Brasil, Portugal</t>
  </si>
  <si>
    <t>João Paulo Cuenca</t>
  </si>
  <si>
    <t>Bartleby</t>
  </si>
  <si>
    <t>Luís Urbano, Felipe Bragança, João Paulo Cuenca</t>
  </si>
  <si>
    <t>Guilherme Tostes</t>
  </si>
  <si>
    <t>Bruna Carvalho, Marta Lopes</t>
  </si>
  <si>
    <t>Barulhista</t>
  </si>
  <si>
    <t>Após um tuíte satírico contra Bolsonaro e a Igreja Universal, J.P. Cuenca tornou-se alvo de 144 processos e milhares de ameaças de morte da extrema direita evangélica. Em busca de diálogo, ele parte numa viagem de 11 mil quilômetros por templos lotados, rodeios, festas alemãs, clubes de tiro, cultos domésticos e caminhões gospel em todas as regiões do país. Entre ruína ecológica, fervor religioso e um suposto apocalipse, um Brasil em transe alcança uma apoteose de cor, música e fé. O que precisa acontecer na sua vida para você acreditar?</t>
  </si>
  <si>
    <t>Direção: João Paulo Cuenca | Roteiro: João Paulo Cuenca | Produtora: Bartleby | Produção: Luís Urbano, Felipe Bragança, João Paulo Cuenca | Fotografia: Guilherme Tostes | Montagem: Bruna Carvalho, Marta Lopes | Música: Barulhista</t>
  </si>
  <si>
    <t>232</t>
  </si>
  <si>
    <t>https://letterboxd.com/film/3x4/</t>
  </si>
  <si>
    <t>3x4</t>
  </si>
  <si>
    <t>Juliana Tizatto</t>
  </si>
  <si>
    <t>Zenistesia Filmes, Leão do Norte Filmes</t>
  </si>
  <si>
    <t>Thiago Looney, Carlos Barbosa, Clemilson Farias</t>
  </si>
  <si>
    <t>Valentina Ricardo</t>
  </si>
  <si>
    <t>JULIANA TIZATTO, THIAGO LOONEY Direção de Arte/ Art Direction: FRANCISCO RICARDO</t>
  </si>
  <si>
    <t>Juliana Tizatto, Thiago Looney</t>
  </si>
  <si>
    <t>Andira Angeli, Isabela Catão</t>
  </si>
  <si>
    <t>Mais um verão amazônico. Confinada no serviço, uma mulher lamenta o último expediente de sua amiga. Os devaneios tomam conta da rotina conforme a despedida se aproxima.</t>
  </si>
  <si>
    <t>Direção: Juliana Tizatto | Roteiro: Juliana Tizatto | Produtora: Zenistesia Filmes, Leão do Norte Filmes | Produção: Thiago Looney, Carlos Barbosa, Clemilson Farias | Fotografia: Valentina Ricardo | Montagem: JULIANA TIZATTO, THIAGO LOONEY Direção de Arte/ Art Direction: FRANCISCO RICARDO | Música: Juliana Tizatto, Thiago Looney | Elenco: Andira Angeli, Isabela Catão</t>
  </si>
  <si>
    <t>233</t>
  </si>
  <si>
    <t>A Casa de Dona Carlota</t>
  </si>
  <si>
    <t>Casa de Dona Carlota, A</t>
  </si>
  <si>
    <t>Lili Fialho, Bruna Linzmeyer</t>
  </si>
  <si>
    <t>Mymama Entertainment</t>
  </si>
  <si>
    <t>Mayra Faour Auad, Gabrielle Auad</t>
  </si>
  <si>
    <t>JANICE D'AVILA Montagem/ Editing: DANI GUIMARÃES</t>
  </si>
  <si>
    <t>Rita Zart</t>
  </si>
  <si>
    <t>Ingrid Trigueiro, Bruna Linzmeyer, Sandra Sá</t>
  </si>
  <si>
    <t>Baseado em uma história real, Dona Carlota lidera um time de futebol feminino no subúrbio carioca, rumo a uma excursão internacional. Sua casa, sede do clube e espaço de liberdade para as moças, desafia a moral e a ditadura vigente dos anos 1940.</t>
  </si>
  <si>
    <t>Direção: Lili Fialho, Bruna Linzmeyer | Roteiro: Lili Fialho, Bruna Linzmeyer | Produtora: Mymama Entertainment | Produção: Mayra Faour Auad, Gabrielle Auad | Fotografia: JANICE D'AVILA Montagem/ Editing: DANI GUIMARÃES | Música: Rita Zart | Elenco: Ingrid Trigueiro, Bruna Linzmeyer, Sandra Sá</t>
  </si>
  <si>
    <t>234</t>
  </si>
  <si>
    <t>A Casa do Pai</t>
  </si>
  <si>
    <t>Casa do Pai, A</t>
  </si>
  <si>
    <t>Patrick Sampaio</t>
  </si>
  <si>
    <t>Patrick Sampaio, Joana Kannenberg, Júlia Portes</t>
  </si>
  <si>
    <t>Ursa Criações Ltda</t>
  </si>
  <si>
    <t>Joana Kannenberg</t>
  </si>
  <si>
    <t>Isadora Relvas, Fernanda Catunda</t>
  </si>
  <si>
    <t>Lu- Ana Bazhuni</t>
  </si>
  <si>
    <t>Frederico Santiago</t>
  </si>
  <si>
    <t>Joana Kannenberg, Júlia Portes, Stella Rabello</t>
  </si>
  <si>
    <t>Após a morte do pai, Alessandra descobre ter herdado parte de um sítio. Nunca reconhecida, aceita encontrar Cora, a filha legítima. O encontro desestabiliza as imagens que as duas criaram uma da outra.</t>
  </si>
  <si>
    <t>Direção: Patrick Sampaio | Roteiro: Patrick Sampaio, Joana Kannenberg, Júlia Portes | Produtora: Ursa Criações Ltda | Produção: Joana Kannenberg | Fotografia: Isadora Relvas, Fernanda Catunda | Montagem: Lu- Ana Bazhuni | Música: Frederico Santiago | Elenco: Joana Kannenberg, Júlia Portes, Stella Rabello</t>
  </si>
  <si>
    <t>235</t>
  </si>
  <si>
    <t>A Extraordinária Vida de Vera Valdez</t>
  </si>
  <si>
    <t>Extraordinária Vida de Vera Valdez, A</t>
  </si>
  <si>
    <t>Fabio Meira</t>
  </si>
  <si>
    <t>Roseira Filmes</t>
  </si>
  <si>
    <t>Fabio Meira, Tatiana Leite, Paula Pripas</t>
  </si>
  <si>
    <t>Heloisa Passos, ABC, Dafb</t>
  </si>
  <si>
    <t>Cristina Amaral, Fabio Meira, Juliano Castro</t>
  </si>
  <si>
    <t>Lina Chamie</t>
  </si>
  <si>
    <t>Vera Valdez</t>
  </si>
  <si>
    <t>Um retrato da atriz brasileira Vera Valdez, seu tempo de modelo com a Dior e especialmente Coco Chanel, seu flerte com a Nouvelle Vague, sua jornada complexa pela maternidade, sua prisão e tortura durante a ditadura no Brasil. Uma mulher de devoção artística e espírito pioneiro.</t>
  </si>
  <si>
    <t>Direção: Fabio Meira | Roteiro: Fabio Meira | Produtora: Roseira Filmes | Produção: Fabio Meira, Tatiana Leite, Paula Pripas | Fotografia: Heloisa Passos, ABC, Dafb | Montagem: Cristina Amaral, Fabio Meira, Juliano Castro | Música: Lina Chamie | Elenco: Vera Valdez</t>
  </si>
  <si>
    <t>236</t>
  </si>
  <si>
    <t>A Margem do Rio</t>
  </si>
  <si>
    <t>Margem do Rio, A</t>
  </si>
  <si>
    <t>Alemanha, Brasil</t>
  </si>
  <si>
    <t>Enock Carvalho, Matheus Farias</t>
  </si>
  <si>
    <t>Gatopardo Filmes</t>
  </si>
  <si>
    <t>Maurício Macêdo, Enock Carvalho, Matheus Farias</t>
  </si>
  <si>
    <t>Luciana Baseggio</t>
  </si>
  <si>
    <t>Will Domingos, Matheus Farias</t>
  </si>
  <si>
    <t>Idlibra, Mateus Alves</t>
  </si>
  <si>
    <t>Artia, Caique Copque, Carlos Francisco, Italo Martins, Robério Diógenes</t>
  </si>
  <si>
    <t>Ambientado no Recife, cidade entrecortada por rios e manguezais, o filme acompanha Izaquiel, um jovem auxiliar de serviços gerais cuja busca noturna por encontros secretos no mangue o leva até Jeremias, um pescador intrigante e magnético. À medida que uma ameaça externa invade o lugar trazendo violência, os dois embarcam em uma jornada pelas profundezas do manguezal, onde realidade e mito se entrelaçam. Prêmio Especial do Júri no Festival de Locarno 2026.</t>
  </si>
  <si>
    <t>Direção: Enock Carvalho, Matheus Farias | Roteiro: Enock Carvalho, Matheus Farias | Produtora: Gatopardo Filmes | Produção: Maurício Macêdo, Enock Carvalho, Matheus Farias | Fotografia: Luciana Baseggio | Montagem: Will Domingos, Matheus Farias | Música: Idlibra, Mateus Alves | Elenco: Artia, Caique Copque, Carlos Francisco, Italo Martins, Robério Diógenes</t>
  </si>
  <si>
    <t>237</t>
  </si>
  <si>
    <t>https://letterboxd.com/film/a-professora-de-frances/</t>
  </si>
  <si>
    <t>A Professora de Francês</t>
  </si>
  <si>
    <t>Professora de Francês, A</t>
  </si>
  <si>
    <t>Brasil, França, Portugal</t>
  </si>
  <si>
    <t>Ricardo Alves Jr</t>
  </si>
  <si>
    <t>Germano Melo</t>
  </si>
  <si>
    <t>Entre Filmes</t>
  </si>
  <si>
    <t>Thiago Macêdo Correia</t>
  </si>
  <si>
    <t>Vasco Viana</t>
  </si>
  <si>
    <t>Mathilde van de Moortel, Luisa Homem</t>
  </si>
  <si>
    <t>Grace Passô, Pedro Goifman, Jehnny Beth, Eduardo Moreira, Elisa Lucinda, Rômulo Braga, Bárbara Colen, Ítalo Laureano, Babi Amaral, Rodger Rogério</t>
  </si>
  <si>
    <t>Graça dá aulas particulares de francês para sobreviver em Belo Horizonte, onde vive com a namorada francesa. Após uma emergência de saúde envolvendo seu pai, ela retorna à casa onde cresceu, no subúrbio. Ali, a família vizinha, responsável por um culto religioso na comunidade, oferece ajuda à professora. Gradualmente, Graça se vê envolvida pelo poder de pessoas com as quais não compartilha valores ou crenças, enquanto tentam trazê-la de volta “ao seu lugar”. Enredada pelo lado obscuro do fanatismo religioso, a professora adentra um caminho rumo à perda da razão.</t>
  </si>
  <si>
    <t>Direção: Ricardo Alves Jr | Roteiro: Germano Melo | Produtora: Entre Filmes | Produção: Thiago Macêdo Correia | Fotografia: Vasco Viana | Montagem: Mathilde van de Moortel, Luisa Homem | Música: Florencia di Concilio | Elenco: Grace Passô, Pedro Goifman, Jehnny Beth, Eduardo Moreira, Elisa Lucinda, Rômulo Braga, Bárbara Colen, Ítalo Laureano, Babi Amaral, Rodger Rogério</t>
  </si>
  <si>
    <t>238</t>
  </si>
  <si>
    <t>A Última Noite</t>
  </si>
  <si>
    <t>Última Noite, A</t>
  </si>
  <si>
    <t>Pedro Belchior Costa, Jhenifer Emerick</t>
  </si>
  <si>
    <t>Jhenifer Emerick, Pedro Belchior</t>
  </si>
  <si>
    <t>Capitolina Filmes</t>
  </si>
  <si>
    <t>Allan Riggs</t>
  </si>
  <si>
    <t>Carol Maduro</t>
  </si>
  <si>
    <t>Submarino Fantástico</t>
  </si>
  <si>
    <t>Jhenifer Emerick, Polliana Aleixo</t>
  </si>
  <si>
    <t>Naquela que pode ser sua última noite juntas, duas jovens musicistas ligadas por uma relação intensa e destrutiva percorrem os bares, becos e palcos improvisados da Lapa tentando compor uma última canção. O que deveria ser uma despedida traz à tona tudo o que as une e afasta: amor, culpa, dependência e silêncios. Enquanto uma delas esconde que deixará o país pela manhã, ambas confrontam o passado e o medo de seguir sozinhas. Antes do amanhecer, uma decisão poderá mudar o rumo de suas vidas.</t>
  </si>
  <si>
    <t>Direção: Pedro Belchior Costa, Jhenifer Emerick | Roteiro: Jhenifer Emerick, Pedro Belchior | Produtora: Capitolina Filmes | Produção: Jhenifer Emerick, Pedro Belchior | Fotografia: Allan Riggs | Montagem: Carol Maduro | Música: Submarino Fantástico | Elenco: Jhenifer Emerick, Polliana Aleixo</t>
  </si>
  <si>
    <t>239</t>
  </si>
  <si>
    <t>Aldir Blanc - Resposta ao Tempo</t>
  </si>
  <si>
    <t>Marcus Fernando, Hugo Sukman</t>
  </si>
  <si>
    <t>Girândola Produções</t>
  </si>
  <si>
    <t>Girândola</t>
  </si>
  <si>
    <t>Dennis Meier Junior</t>
  </si>
  <si>
    <t>Paulo Henrique Fontenelle</t>
  </si>
  <si>
    <t>Humberto Carrão</t>
  </si>
  <si>
    <t>A definição de Dorival Caymmi é inequívoca: “Aldir Blanc é o ourives do palavreado”. Tratando a língua popular como ouro, Aldir criou um universo próprio, traduzindo como ninguém em canções, poemas e crônicas a vida cotidiana carioca e brasileira. Mais do que um filme sobre a vida ou sobre a obra do artista, trata-se de um mergulho em seu universo, suas inspirações, sua geografia própria, seu jeito muito pessoal de contar histórias. Uma aventura pelos meandros musicais e literários de uma das cabeças mais intrigantes da cultura brasileira contemporânea.</t>
  </si>
  <si>
    <t>Direção: Marcus Fernando, Hugo Sukman | Roteiro: Marcus Fernando, Hugo Sukman | Produtora: Girândola Produções | Produção: Girândola | Fotografia: Dennis Meier Junior | Montagem: Paulo Henrique Fontenelle | Elenco: Humberto Carrão</t>
  </si>
  <si>
    <t>240</t>
  </si>
  <si>
    <t>Alegria Brasil, estrelando Maria Alcina</t>
  </si>
  <si>
    <t>Elizabete Martins Campos</t>
  </si>
  <si>
    <t>It Filmes, Comunicação e Entretenimento</t>
  </si>
  <si>
    <t>Murilo Salazar, Ciro Thielmann, Breno Conde</t>
  </si>
  <si>
    <t>Lorena Ortiz, Elizabete Martins Campos</t>
  </si>
  <si>
    <t>Maria Alcina, Yuri Queiroga</t>
  </si>
  <si>
    <t>Maria Alcina, Povo Brasileiro</t>
  </si>
  <si>
    <t>Ao entrar numa sala de cinema, Maria Alcina atravessa a própria tela e é projetada em um portal atemporal. Começa então uma viagem fantástica e musical por sua trajetória, que se mistura a momentos marcantes da história brasileira. Entre memória, performance e imaginação, a cantora revisita suas origens e transforma a alegria em uma força da identidade nacional.</t>
  </si>
  <si>
    <t>Direção: Elizabete Martins Campos | Roteiro: Elizabete Martins Campos | Produtora: It Filmes, Comunicação e Entretenimento | Produção: Elizabete Martins Campos | Fotografia: Murilo Salazar, Ciro Thielmann, Breno Conde | Montagem: Lorena Ortiz, Elizabete Martins Campos | Música: Maria Alcina, Yuri Queiroga | Elenco: Maria Alcina, Povo Brasileiro</t>
  </si>
  <si>
    <t>241</t>
  </si>
  <si>
    <t>Alucinação</t>
  </si>
  <si>
    <t>Renato Terra, Marcos Caetano, Leo Caetano</t>
  </si>
  <si>
    <t>Renato Terra</t>
  </si>
  <si>
    <t>Inquietude</t>
  </si>
  <si>
    <t>Inquietude, Carolina Benevides, Marianna Brennand</t>
  </si>
  <si>
    <t>Jordana Berg</t>
  </si>
  <si>
    <t>. . . . O filme parte das antológicas músicas do Belchior para trazer as cores e os conflitos do Brasil nos anos 70. Uma viagem visual e sonora que amplia o sentido das canções e ecoa uma questão fundamental para o Brasil de hoje: em que momento acabaram as utopias e começaram as distopias?</t>
  </si>
  <si>
    <t>Direção: Renato Terra, Marcos Caetano, Leo Caetano | Roteiro: Renato Terra | Produtora: Inquietude | Produção: Inquietude, Carolina Benevides, Marianna Brennand | Montagem: Jordana Berg</t>
  </si>
  <si>
    <t>242</t>
  </si>
  <si>
    <t>https://letterboxd.com/film/amadeo-e-o-hipotetico-mundo-novo/</t>
  </si>
  <si>
    <t>Amadeo e o Hipotético Mundo Novo</t>
  </si>
  <si>
    <t>Brenda Lígia, Edu Felistoque, Everton Amorim</t>
  </si>
  <si>
    <t>Edu Felistoque, Brenda Lígia</t>
  </si>
  <si>
    <t>Felistoque Cinema Ltda</t>
  </si>
  <si>
    <t>Edu Felistoque</t>
  </si>
  <si>
    <t>Gab Felistoque, Will Prado</t>
  </si>
  <si>
    <t>Thais Zanoni, Edu Felistoque</t>
  </si>
  <si>
    <t>Guilherme Picolo</t>
  </si>
  <si>
    <t>Antonio Fagundes, Edmilson Filho, Naruna Costa, Paolla Oliveira, Sérgio Menezes</t>
  </si>
  <si>
    <t>Em 1830, no Brasil escravista, o jovem africano Amadeo inventa a câmera fotográfica antes dos europeus. Disfarçado para não ser escravizado, usa a invenção para ajudar a libertar as pessoas mantidas em cativeiro na fazenda de um poderoso barão. Nesse percurso, aproxima-se de Linda, filha do proprietário, uma jovem idealista apaixonada por ciência e arte, com quem vive um romance proibido. Uma aventura hipotética, romântica e bem-humorada sobre o Novo Mundo.</t>
  </si>
  <si>
    <t>Direção: Brenda Lígia, Edu Felistoque, Everton Amorim | Roteiro: Edu Felistoque, Brenda Lígia | Produtora: Felistoque Cinema Ltda | Produção: Edu Felistoque | Fotografia: Gab Felistoque, Will Prado | Montagem: Thais Zanoni, Edu Felistoque | Música: Guilherme Picolo | Elenco: Antonio Fagundes, Edmilson Filho, Naruna Costa, Paolla Oliveira, Sérgio Menezes</t>
  </si>
  <si>
    <t>243</t>
  </si>
  <si>
    <t>https://letterboxd.com/film/amor-e-fe-chica-xavier/</t>
  </si>
  <si>
    <t>Amor e Fé - Chica Xavier</t>
  </si>
  <si>
    <t>Amor e Fé: Chica Xavier</t>
  </si>
  <si>
    <t>Clementino Junior</t>
  </si>
  <si>
    <t>Bruna Christine</t>
  </si>
  <si>
    <t>Baltazar Produção &amp; Conteúdo</t>
  </si>
  <si>
    <t>Robson Maia</t>
  </si>
  <si>
    <t>Pablo Carvalho, Áurea Martins</t>
  </si>
  <si>
    <t>Chica Xavier, Clementino Kelé, Miguel Falabella, Solange Couto, Isabel Fillardis</t>
  </si>
  <si>
    <t>Chica Xavier viveu uma trajetória marcada pelo amor, o axé, as artes cênicas e a educação. O documentário realizado por seu filho caçula, traz o retrato de uma grande atriz, baiana de Oyá e que transformou a vida de muita gente dentro e fora das telas, num legado de amor.</t>
  </si>
  <si>
    <t>Direção: Clementino Junior | Roteiro: Bruna Christine | Produtora: Baltazar Produção &amp; Conteúdo | Fotografia: Robson Maia | Montagem: Clementino Junior | Música: Pablo Carvalho, Áurea Martins | Elenco: Chica Xavier, Clementino Kelé, Miguel Falabella, Solange Couto, Isabel Fillardis</t>
  </si>
  <si>
    <t>244</t>
  </si>
  <si>
    <t>Amor Inteligente</t>
  </si>
  <si>
    <t>José Bial</t>
  </si>
  <si>
    <t>Mazumzé Filmes</t>
  </si>
  <si>
    <t>Mia Lima Rocha, Diego Lobo, José Bial</t>
  </si>
  <si>
    <t>Peterson Pessoa, Diego Lobo</t>
  </si>
  <si>
    <t>Bruno de Laurentis</t>
  </si>
  <si>
    <t>Nei Lisboa, Vicente Barone</t>
  </si>
  <si>
    <t>Ana Maria Magalhães, Antônio Pitanga</t>
  </si>
  <si>
    <t>O fim e o início do relacionamento de Jade e Caio, o primeiro casal humano da história a ser reunido por uma inteligência artificial.</t>
  </si>
  <si>
    <t>Direção: José Bial | Produtora: Mazumzé Filmes | Produção: Mia Lima Rocha, Diego Lobo, José Bial | Fotografia: Peterson Pessoa, Diego Lobo | Montagem: Bruno de Laurentis | Música: Nei Lisboa, Vicente Barone | Elenco: Ana Maria Magalhães, Antônio Pitanga</t>
  </si>
  <si>
    <t>245</t>
  </si>
  <si>
    <t>https://letterboxd.com/film/amora/</t>
  </si>
  <si>
    <t>Amora</t>
  </si>
  <si>
    <t>Juliana Rojas</t>
  </si>
  <si>
    <t>Thais Guisasola, Julia Anquier</t>
  </si>
  <si>
    <t>Bigbonsai</t>
  </si>
  <si>
    <t>Camila Nunes, Deborah Osborn, Jessica Luz, Paola Wink, André Montenegro, Felipe Briso</t>
  </si>
  <si>
    <t>Cris Lyra</t>
  </si>
  <si>
    <t>Beatriz Pomar</t>
  </si>
  <si>
    <t>Maria Beraldo</t>
  </si>
  <si>
    <t>Bruna Linzmeyer, Ana Hikari, Inez Viana, Araci Esteves, Lucas Prado, Rafael Albuquerque, Pilly Calvin</t>
  </si>
  <si>
    <t>Série antológica em quatro episódios, adaptada da obra de Natália Borges Polesso. Na cidade de Amora, quatro casais de mulheres, de diferentes idades e trajetórias, vivem histórias de amor, desejo, descoberta e coragem. No episódio de estreia, durante o velório da tia-avó Marga, Tereza e Daniela enfrentam suas angústias diante do nascimento iminente do primeiro bebê do casal, gestado por Daniela. Como cada uma guarda um segredo, o velório em meio à parentada se transforma num pesadelo muito divertido.</t>
  </si>
  <si>
    <t>Direção: Juliana Rojas | Roteiro: Thais Guisasola, Julia Anquier | Produtora: Bigbonsai | Produção: Camila Nunes, Deborah Osborn, Jessica Luz, Paola Wink, André Montenegro, Felipe Briso | Fotografia: Cris Lyra | Montagem: Beatriz Pomar | Música: Maria Beraldo | Elenco: Bruna Linzmeyer, Ana Hikari, Inez Viana, Araci Esteves, Lucas Prado, Rafael Albuquerque, Pilly Calvin</t>
  </si>
  <si>
    <t>246</t>
  </si>
  <si>
    <t>As Dez Vantagens de Morrer Depois de Você</t>
  </si>
  <si>
    <t>Dez Vantagens de Morrer Depois de Você, As</t>
  </si>
  <si>
    <t>Diego Freitas</t>
  </si>
  <si>
    <t>Diego Freitas, Rod Azevedo</t>
  </si>
  <si>
    <t>Marcio Fraccaroli, Andre Fraccaroli, Veronica Stumpf</t>
  </si>
  <si>
    <t>Victor Alencar</t>
  </si>
  <si>
    <t>Helena Chaves</t>
  </si>
  <si>
    <t>Fabio Góes</t>
  </si>
  <si>
    <t>Any Gabrielly, Giulia Be, Pâmela Germano, Michel Joelsas, Daniel Rangel, Sheron Menezzes, Paulo Lessa, Regiane Alves, Leo Jaime, Arthur Khol, Juliano Floss, Felipe Bertuol, Paulo Mendes</t>
  </si>
  <si>
    <t>Arrasada após a morte trágica de sua melhor amiga, Gabriela descobre que ela deixou um presente de despedida inesperado: dez cartas com desafios para ajudá-la a superar o luto.</t>
  </si>
  <si>
    <t>Direção: Diego Freitas | Roteiro: Diego Freitas, Rod Azevedo | Produtora: Paris Entretenimento | Produção: Marcio Fraccaroli, Andre Fraccaroli, Veronica Stumpf | Fotografia: Victor Alencar | Montagem: Helena Chaves | Música: Fabio Góes | Elenco: Any Gabrielly, Giulia Be, Pâmela Germano, Michel Joelsas, Daniel Rangel, Sheron Menezzes, Paulo Lessa, Regiane Alves, Leo Jaime, Arthur Khol, Juliano Floss, Felipe Bertuol, Paulo Mendes</t>
  </si>
  <si>
    <t>247</t>
  </si>
  <si>
    <t>https://letterboxd.com/film/unknown-author/</t>
  </si>
  <si>
    <t>Autor Desconhecido</t>
  </si>
  <si>
    <t>Unknown Author</t>
  </si>
  <si>
    <t>Brasil, Alemanha</t>
  </si>
  <si>
    <t>Daniel Wierman, Paulo Menezes</t>
  </si>
  <si>
    <t>Felipe Haiut</t>
  </si>
  <si>
    <t>Br_n Produção/ Production: Daniel Wierman, Buno Fagundes, Luana Almeida</t>
  </si>
  <si>
    <t>Karl Neubart</t>
  </si>
  <si>
    <t>Lorenzo Petracchi</t>
  </si>
  <si>
    <t>Pedro Zopelar, Marcio Vermelho</t>
  </si>
  <si>
    <t>Bruno Fagundes, Felipe Haiut</t>
  </si>
  <si>
    <t>Em Berlim, um cineasta brasileiro reencena a violência sexual que sofreu anos antes. Sem conhecer o agressor, cria versões do passado até que a busca por justiça se transforma numa investigação sobre si e a própria história.</t>
  </si>
  <si>
    <t>Direção: Daniel Wierman, Paulo Menezes | Roteiro: Felipe Haiut | Produtora: Br_n Produção/ Production: Daniel Wierman, Buno Fagundes, Luana Almeida | Fotografia: Karl Neubart | Montagem: Lorenzo Petracchi | Música: Pedro Zopelar, Marcio Vermelho | Elenco: Bruno Fagundes, Felipe Haiut</t>
  </si>
  <si>
    <t>248</t>
  </si>
  <si>
    <t>https://letterboxd.com/film/baile-das-luzes/</t>
  </si>
  <si>
    <t>Baile das Luzes</t>
  </si>
  <si>
    <t>Vincent Rosenblatt</t>
  </si>
  <si>
    <t>Sarah Duarte</t>
  </si>
  <si>
    <t>Lascene Produções</t>
  </si>
  <si>
    <t>Léo Bittencourt, Jorge Bernardo, Raúl Tamoyo Estrada, Victor Souza, Ciro Thielmann, Lucas Escócio, Reinaldo Faccini, Hilton Naka, Lazare Jefroykin, Yasmin Passos Pontes, Vincent Rosenblatt</t>
  </si>
  <si>
    <t>Bianca Kelly, Rodrigo Moraes</t>
  </si>
  <si>
    <t>Sabrina Ginga, Mc Cidinho, Dj Fú, As Twerkseiras, Ivanildo Carmo, Marcelo Índio, Ricardo Laguna, Marcelo Projesom, Paulo Cesar Jr. (Dino), Juninho de Quebra</t>
  </si>
  <si>
    <t>Um mergulho sensorial nos projetos de longa duração do fotógrafo Vincent Rosenblatt, parisiense radicado no Rio de Janeiro há mais de 20 anos. O filme percorre o universo do funk carioca, o carnaval dos bate-bolas e as festas de aparelhagem de Belém do Pará, além de incluir uma passagem pela Polônia. Nessa navegação polifônica, ele desvenda suas obsessões visuais e revela um permanente estado de busca, no qual vida, imagem e catarse se confundem.</t>
  </si>
  <si>
    <t>Direção: Vincent Rosenblatt | Roteiro: Sarah Duarte | Produtora: Lascene Produções | Produção: Vincent Rosenblatt | Fotografia: Léo Bittencourt, Jorge Bernardo, Raúl Tamoyo Estrada, Victor Souza, Ciro Thielmann, Lucas Escócio, Reinaldo Faccini, Hilton Naka, Lazare Jefroykin, Yasmin Passos Pontes, Vincent Rosenblatt | Montagem: Bianca Kelly, Rodrigo Moraes | Elenco: Sabrina Ginga, Mc Cidinho, Dj Fú, As Twerkseiras, Ivanildo Carmo, Marcelo Índio, Ricardo Laguna, Marcelo Projesom, Paulo Cesar Jr. (Dino), Juninho de Quebra</t>
  </si>
  <si>
    <t>249</t>
  </si>
  <si>
    <t>Better Future</t>
  </si>
  <si>
    <t>Brasil, Estados Unidos</t>
  </si>
  <si>
    <t>Jungle</t>
  </si>
  <si>
    <t>300ml</t>
  </si>
  <si>
    <t>Untitled</t>
  </si>
  <si>
    <t>Jungle, 300ml, Karin Nantes</t>
  </si>
  <si>
    <t>Jp Garcia</t>
  </si>
  <si>
    <t>Renato Itaboray</t>
  </si>
  <si>
    <t>Caroline Kousidonis</t>
  </si>
  <si>
    <t>Júlio Andrade, Breeda Wool, Blake Troope</t>
  </si>
  <si>
    <t>Há quatro anos como imigrante nos Estados Unidos, Julio, que trabalha na equipe de limpeza em um hospital, luta para se manter sóbrio. Longe da filha e com o casamento em crise, busca, em meio à dura rotina, um novo recomeço.</t>
  </si>
  <si>
    <t>Direção: Jungle | Roteiro: 300ml | Produtora: Untitled | Produção: Jungle, 300ml, Karin Nantes | Fotografia: Jp Garcia | Montagem: Renato Itaboray | Música: Caroline Kousidonis | Elenco: Júlio Andrade, Breeda Wool, Blake Troope</t>
  </si>
  <si>
    <t>250</t>
  </si>
  <si>
    <t>Boulevard Arrudas</t>
  </si>
  <si>
    <t>Matheus Moura</t>
  </si>
  <si>
    <t>Matheus Moura, Stefano Lopes</t>
  </si>
  <si>
    <t>Ursana Filmes Produção/ Production: Matheus Moura, Antonio Pedroni</t>
  </si>
  <si>
    <t>Well Amorim</t>
  </si>
  <si>
    <t>Luiza Garcia</t>
  </si>
  <si>
    <t>Cliver Honorato, André Oliveira</t>
  </si>
  <si>
    <t>Denilson Tourinho</t>
  </si>
  <si>
    <t>Nilson, guia do Aquário de Belo Horizonte, é um dos afetados pelas constantes inundações causadas pelas chuvas torrenciais nas bacias do Rio Arrudas, que agora enfrenta o maior dilúvio da sua história.</t>
  </si>
  <si>
    <t>Direção: Matheus Moura | Roteiro: Matheus Moura, Stefano Lopes | Produtora: Ursana Filmes Produção/ Production: Matheus Moura, Antonio Pedroni | Fotografia: Well Amorim | Montagem: Luiza Garcia | Música: Cliver Honorato, André Oliveira | Elenco: Denilson Tourinho</t>
  </si>
  <si>
    <t>251</t>
  </si>
  <si>
    <t>Cadu Barcellos - Cria não morre, vira lenda</t>
  </si>
  <si>
    <t>Wagner Novais</t>
  </si>
  <si>
    <t>Wagner Novais, Rodrigo Savastano</t>
  </si>
  <si>
    <t>Iroko Produtora e Assessoria</t>
  </si>
  <si>
    <t>Juliana Portella, Wagner Novais</t>
  </si>
  <si>
    <t>Jéferson Vasconcelos</t>
  </si>
  <si>
    <t>Rodrigo Savastano</t>
  </si>
  <si>
    <t>Márcio Eduardo, Jonathan Ferr</t>
  </si>
  <si>
    <t>O documentário celebra Cadu Barcellos, cineasta negro do Conjunto de Favelas da Maré. Contra o apagamento, a obra foge da tragédia para exaltar sua luz, ancestralidade e legado. A potência de um Cria não morre, vira lenda.</t>
  </si>
  <si>
    <t>Direção: Wagner Novais | Roteiro: Wagner Novais, Rodrigo Savastano | Produtora: Iroko Produtora e Assessoria | Produção: Juliana Portella, Wagner Novais | Fotografia: Jéferson Vasconcelos | Montagem: Rodrigo Savastano | Música: Márcio Eduardo, Jonathan Ferr</t>
  </si>
  <si>
    <t>252</t>
  </si>
  <si>
    <t>Cansei de Ser Galã</t>
  </si>
  <si>
    <t>Cansei de ser galã</t>
  </si>
  <si>
    <t>Bento Marzo, Eduardo Ades</t>
  </si>
  <si>
    <t>Bento Marzo, Candida Sastre, Eduardo Ades</t>
  </si>
  <si>
    <t>Mac Comunicação</t>
  </si>
  <si>
    <t>Julio Carvana, Rita Carvana</t>
  </si>
  <si>
    <t>Miguel Lindenberg</t>
  </si>
  <si>
    <t>Rita Carvana</t>
  </si>
  <si>
    <t>Marcelo Callado</t>
  </si>
  <si>
    <t>Claudio Marzo, Betty Faria, Amir Haddad, Daniel Filho, Boni</t>
  </si>
  <si>
    <t>Muito jovem, Claudio Marzo estourou como galã de novelas. Seu arquivo pessoal inédito, junto com o depoimento de amigos, revelam, no entanto, uma faceta pouco conhecida do público. O homem inconformado e contestador, o ator em uma permanente busca pela autenticidade de sua imagem.</t>
  </si>
  <si>
    <t>Direção: Bento Marzo, Eduardo Ades | Roteiro: Bento Marzo, Candida Sastre, Eduardo Ades | Produtora: Mac Comunicação | Produção: Julio Carvana, Rita Carvana | Fotografia: Miguel Lindenberg | Montagem: Rita Carvana | Música: Marcelo Callado | Elenco: Claudio Marzo, Betty Faria, Amir Haddad, Daniel Filho, Boni</t>
  </si>
  <si>
    <t>253</t>
  </si>
  <si>
    <t>Cão Sem Plumas</t>
  </si>
  <si>
    <t>Camila Valença</t>
  </si>
  <si>
    <t>Dillner Gomes</t>
  </si>
  <si>
    <t>Perdidas Ilusões</t>
  </si>
  <si>
    <t>Camila Valença, João Elias</t>
  </si>
  <si>
    <t>Pedro Sotero, Crika, Marcelo Lacerda</t>
  </si>
  <si>
    <t>Mair Tavares, Mariana Valença</t>
  </si>
  <si>
    <t>Lirinha</t>
  </si>
  <si>
    <t>CIA de Dança Deborah Colker</t>
  </si>
  <si>
    <t>Do Agreste ao mar, o rio Capibaribe inspira o poema de João Cabral de Melo Neto e a dança de Deborah Colker. O documentário é um filme de estrada em que performance, corpo e poesia são combustíveis em uma viagem que começa na nascente e desemboca no além-mar, entre o árido e o oceano, entre a devastação e o que resiste.</t>
  </si>
  <si>
    <t>Direção: Camila Valença | Roteiro: Dillner Gomes | Produtora: Perdidas Ilusões | Produção: Camila Valença, João Elias | Fotografia: Pedro Sotero, Crika, Marcelo Lacerda | Montagem: Mair Tavares, Mariana Valença | Música: Lirinha | Elenco: CIA de Dança Deborah Colker</t>
  </si>
  <si>
    <t>254</t>
  </si>
  <si>
    <t>https://letterboxd.com/film/chuva-acida-historias-do-crepusculo-de-cubatao/</t>
  </si>
  <si>
    <t>Chuva Ácida: Histórias do Crepúsculo de Cubatão</t>
  </si>
  <si>
    <t>Cláudia Pereira</t>
  </si>
  <si>
    <t>Cláudia da Silva Pereira</t>
  </si>
  <si>
    <t>Eduarda Jermann</t>
  </si>
  <si>
    <t>Vinícius Verta</t>
  </si>
  <si>
    <t>Cláudia Pereira, Eduardo Souza Lima</t>
  </si>
  <si>
    <t>Second Come</t>
  </si>
  <si>
    <t>Dudu Candelot, Edinho, Luís Cláudio de Gang, Marcelo de Gang</t>
  </si>
  <si>
    <t>Documentário que reúne memórias pessoais e raros registros da casa noturna que existiu em Copacabana entre 1984 a 1989. Com depoimentos de DJs, funcionários e frequentadores do Crepúsculo de Cubatão, o filme explora a influência da cultura britânica na música e no comportamento daqueles jovens, então rotulados como . Mais do que contar as histórias de um lugar, o documentário revela as origens e os bastidores da efervescência cultural carioca que marcou o contexto da abertura política brasileira.</t>
  </si>
  <si>
    <t>Direção: Cláudia Pereira | Roteiro: Cláudia Pereira | Produtora: Cláudia da Silva Pereira | Produção: Eduarda Jermann | Fotografia: Vinícius Verta | Montagem: Cláudia Pereira, Eduardo Souza Lima | Música: Second Come | Elenco: Dudu Candelot, Edinho, Luís Cláudio de Gang, Marcelo de Gang</t>
  </si>
  <si>
    <t>255</t>
  </si>
  <si>
    <t>Cidade de Deus: A Luta Não Para</t>
  </si>
  <si>
    <t>Aly Muritiba</t>
  </si>
  <si>
    <t>Maíra Oliveira, Paulo Lins</t>
  </si>
  <si>
    <t>O2</t>
  </si>
  <si>
    <t>Fernando Meirelles, Andrea Barata Ribeiro</t>
  </si>
  <si>
    <t>Cristiano Conceição, Rodrigo Carvalho</t>
  </si>
  <si>
    <t>Karen Akerman, Edt., Tainá Diniz, Edt.</t>
  </si>
  <si>
    <t>Beto Villares, Érico Theobaldo, Luzia Barros, Fil Pinheiro</t>
  </si>
  <si>
    <t>Alexandre Rodrigues, Andréia Horta, Matheus Nachtergaele, Roberta Rodrigues, Sabrina Rosa</t>
  </si>
  <si>
    <t>Na nova temporada de , a guerra muda de escala e o jogo agora é xadrez. A disputa por poder, antes restrita à comunidade, agora atravessa política, milícia, polícia, segurança privada e os interesses de quem lucra com o medo. Enquanto personagens disputam poder, justiça e sobrevivência, a comunidade enfrenta um inimigo mais difícil de reconhecer — e ainda mais perigoso. Mais intensa, estratégica e conectada ao Brasil de hoje, a T2 expande o universo de Cidade de Deus para mostrar que, quando as regras do jogo mudam, ninguém sai ileso.</t>
  </si>
  <si>
    <t>Direção: Aly Muritiba | Roteiro: Maíra Oliveira, Paulo Lins | Produtora: O2 | Produção: Fernando Meirelles, Andrea Barata Ribeiro | Fotografia: Cristiano Conceição, Rodrigo Carvalho | Montagem: Karen Akerman, Edt., Tainá Diniz, Edt. | Música: Beto Villares, Érico Theobaldo, Luzia Barros, Fil Pinheiro | Elenco: Alexandre Rodrigues, Andréia Horta, Matheus Nachtergaele, Roberta Rodrigues, Sabrina Rosa</t>
  </si>
  <si>
    <t>256</t>
  </si>
  <si>
    <t>Cinderela do Samba</t>
  </si>
  <si>
    <t>Curta-metragem / Ficção</t>
  </si>
  <si>
    <t>Magna Domingues</t>
  </si>
  <si>
    <t>Dualto Produções</t>
  </si>
  <si>
    <t>Hugo Anikulapo Lima</t>
  </si>
  <si>
    <t>Lucilio Jota, Edt</t>
  </si>
  <si>
    <t>Fernando Aranha</t>
  </si>
  <si>
    <t>Claudia Macedo, Digão Oliveira, Jonathan Azevedo</t>
  </si>
  <si>
    <t>Célio, um frequentador das rodas de samba, se apaixona por uma linda e misteriosa mulher que está sempre cantando à beira da roda. Toda vez que tenta se aproximar, ela desaparece, sempre no mesmo horário.</t>
  </si>
  <si>
    <t>Direção: Magna Domingues | Roteiro: Magna Domingues | Produtora: Dualto Produções | Produção: Luciano Vidigal | Fotografia: Hugo Anikulapo Lima | Montagem: Lucilio Jota, Edt | Música: Fernando Aranha | Elenco: Claudia Macedo, Digão Oliveira, Jonathan Azevedo | Formato: Curta-metragem / Ficção | Duração: 16 min</t>
  </si>
  <si>
    <t>257</t>
  </si>
  <si>
    <t>https://letterboxd.com/film/consolo/</t>
  </si>
  <si>
    <t>Consolo</t>
  </si>
  <si>
    <t>Johnny Massaro</t>
  </si>
  <si>
    <t>Hipérbole, Capuri</t>
  </si>
  <si>
    <t>Del Reginato, Eduardo Rezende, Johnny Massaro, Thiago Mascarenhas</t>
  </si>
  <si>
    <t>Bruno Polidoro</t>
  </si>
  <si>
    <t>Victoria Zanardi</t>
  </si>
  <si>
    <t>Thiago Pethit, Leandro Matioli, Nelton Matioli</t>
  </si>
  <si>
    <t>Emílio de Mello, Lara Tremouroux, Clarissa Kiste</t>
  </si>
  <si>
    <t>Em pleno Carnaval, o taxista Manoel encontra um consolo na sala de casa. Imenso e ainda melado, o objeto desencadeia uma jornada tragicômica que abala seu imaginário e sua masculinidade.</t>
  </si>
  <si>
    <t>Direção: Johnny Massaro | Produtora: Hipérbole, Capuri | Produção: Del Reginato, Eduardo Rezende, Johnny Massaro, Thiago Mascarenhas | Fotografia: Bruno Polidoro | Montagem: Victoria Zanardi | Música: Thiago Pethit, Leandro Matioli, Nelton Matioli | Elenco: Emílio de Mello, Lara Tremouroux, Clarissa Kiste</t>
  </si>
  <si>
    <t>258</t>
  </si>
  <si>
    <t>Cony, retrato íntimo</t>
  </si>
  <si>
    <t>Marcos Ribeiro</t>
  </si>
  <si>
    <t>Helena Lara Resende</t>
  </si>
  <si>
    <t>TV Imaginária Produções Ltda</t>
  </si>
  <si>
    <t>Helena Lara, Marcos Ribeiro, Flávia Leite</t>
  </si>
  <si>
    <t>Markão Oliveira</t>
  </si>
  <si>
    <t>Fernando Moura</t>
  </si>
  <si>
    <t>Carlos Heitor Cony, Beatriz Lajta, Ruy Castro, Marília Gabriela, Verônica Cony</t>
  </si>
  <si>
    <t>O documentário marca o centenário, em 2026, do célebre escritor e jornalista Carlos Heitor Cony. Guiado por sua viúva, Beatriz Lajta, após 40 anos de união, o filme revela o homem por trás da figura pública. Utilizando filmagens caseiras inéditas de suas viagens, amigos e paixões compartilhadas — como o piano, a pintura e os livros —, além de leituras na voz de Pedro Bial e depoimentos da filha e da neta de Cony, o documentário apresenta um olhar maduro e feminino sobre uma vida fascinante, capturando sua mais profunda humanidade e afeto.</t>
  </si>
  <si>
    <t>Direção: Marcos Ribeiro | Roteiro: Helena Lara Resende | Produtora: TV Imaginária Produções Ltda | Produção: Helena Lara, Marcos Ribeiro, Flávia Leite | Fotografia: Markão Oliveira | Montagem: Marcos Ribeiro | Música: Fernando Moura | Elenco: Carlos Heitor Cony, Beatriz Lajta, Ruy Castro, Marília Gabriela, Verônica Cony</t>
  </si>
  <si>
    <t>259</t>
  </si>
  <si>
    <t>Delegado</t>
  </si>
  <si>
    <t>Leonardo Lacca, Marcelo Lordello</t>
  </si>
  <si>
    <t>Trincheira Filmes</t>
  </si>
  <si>
    <t>Emilie Lesclaux, Kleber Mendonça Filho</t>
  </si>
  <si>
    <t>Marcelo Lordello</t>
  </si>
  <si>
    <t>Piero Bianchi</t>
  </si>
  <si>
    <t>Johnny Massaro, Alice Carvalho, Virginia Cavendish, Rubens Santos, Hermila Guedes</t>
  </si>
  <si>
    <t>Felipe, um jovem delegado de classe média, assume uma delegacia na periferia do Recife disposto a fazer as coisas do jeito que acha certo. Diante das contradições da instituição, uma equipe com seus próprios métodos e a ascensão de um novo líder do tráfico, seu idealismo é colocado à prova.</t>
  </si>
  <si>
    <t>Direção: Leonardo Lacca, Marcelo Lordello | Roteiro: Leonardo Lacca, Marcelo Lordello | Produtora: Trincheira Filmes | Produção: Emilie Lesclaux, Kleber Mendonça Filho | Fotografia: Luciana Baseggio | Montagem: Marcelo Lordello | Música: Piero Bianchi | Elenco: Johnny Massaro, Alice Carvalho, Virginia Cavendish, Rubens Santos, Hermila Guedes</t>
  </si>
  <si>
    <t>260</t>
  </si>
  <si>
    <t>Depois do Impacto: A História do Coritiba Crocodiles</t>
  </si>
  <si>
    <t>Rafael Moraes</t>
  </si>
  <si>
    <t>Apeiron Filmes</t>
  </si>
  <si>
    <t>Rafael Moraes, Gerardo Chapa</t>
  </si>
  <si>
    <t>João Atala</t>
  </si>
  <si>
    <t>Gustavo Ribeiro</t>
  </si>
  <si>
    <t>Arthur Decloedt</t>
  </si>
  <si>
    <t>Adan Rodriguez, Felipe Filipak, Anderson Kvas, Johnny Mitchell, Delmer Zoschke, Henrique Pucca, Vicente Brasil, Elisa Richter, Aelson Barros, Keyth Barros, Tanner Mckee</t>
  </si>
  <si>
    <t>Em 21 de setembro de 2024, o ônibus do time de futebol americano Coritiba Crocodiles tomba na Serra das Araras. Três jogadores morrem, metade do elenco fica ferido. Seis meses depois, o time volta a competir sob o lema "Por Eles, Pra Eles". O documentário acompanha essa temporada pelo lado de dentro: o presidente que carrega o time como missão, a viúva e a filha que seguem parte da família, o linebacker que sobreviveu debaixo do ônibus, o ex-jogador da NFL que trocou os Estados Unidos pelo Brasil. No campo, cada jarda é uma barreira do luto derrubada.</t>
  </si>
  <si>
    <t>Direção: Rafael Moraes | Produtora: Apeiron Filmes | Produção: Rafael Moraes, Gerardo Chapa | Fotografia: João Atala | Montagem: Gustavo Ribeiro | Música: Arthur Decloedt | Elenco: Adan Rodriguez, Felipe Filipak, Anderson Kvas, Johnny Mitchell, Delmer Zoschke, Henrique Pucca, Vicente Brasil, Elisa Richter, Aelson Barros, Keyth Barros, Tanner Mckee</t>
  </si>
  <si>
    <t>261</t>
  </si>
  <si>
    <t>Diário do Fogo</t>
  </si>
  <si>
    <t>Maju de Paiva, Bernardo Florim</t>
  </si>
  <si>
    <t>Produtora Viralata</t>
  </si>
  <si>
    <t>Gabriel Corrêa e Castro, Sabrina Nudeliman, Sérgio Pedrosa</t>
  </si>
  <si>
    <t>Luís Abramo</t>
  </si>
  <si>
    <t>Will Domingos</t>
  </si>
  <si>
    <t>Isabel Teixeira, Higor Campagnaro, Ranieri Gonzalez, Juliana Veloso, Cátia Costa, Dani Barros</t>
  </si>
  <si>
    <t>Graça sonha com fogo. Ao despertar, ela e sua filha, Duda, juntam os poucos pertences e deixam o apartamento onde moram no meio da noite. O prédio é uma ocupação de famílias sem teto. O incêndio atinge um andar desabitado. Graça parte com a filha em busca de um lugar seguro para passar a noite. Os vivos e os mortos seguem os seus rastros.</t>
  </si>
  <si>
    <t>Direção: Maju de Paiva, Bernardo Florim | Roteiro: Maju de Paiva, Bernardo Florim | Produtora: Produtora Viralata | Produção: Gabriel Corrêa e Castro, Sabrina Nudeliman, Sérgio Pedrosa | Fotografia: Luís Abramo | Montagem: Will Domingos | Música: Frederico Santiago | Elenco: Isabel Teixeira, Higor Campagnaro, Ranieri Gonzalez, Juliana Veloso, Cátia Costa, Dani Barros</t>
  </si>
  <si>
    <t>262</t>
  </si>
  <si>
    <t>https://letterboxd.com/film/dragoes/</t>
  </si>
  <si>
    <t>Dragões</t>
  </si>
  <si>
    <t>Miguel Antunes Ramos</t>
  </si>
  <si>
    <t>Guilherme Giufrida, Iris Junges, Letícia Simões, Matheus Nery, Miguel Antunes Ramos, Vicente Antunes Ramos</t>
  </si>
  <si>
    <t>Enquadramento Produções, Esquina Filmes</t>
  </si>
  <si>
    <t>Julia Murat, Leonardo Mecchi</t>
  </si>
  <si>
    <t>Léo Bittencourt</t>
  </si>
  <si>
    <t>Alexandre Leco Wahrhaftig</t>
  </si>
  <si>
    <t>Kiko Dinucci, Podeserdesligado</t>
  </si>
  <si>
    <t>O documentário mergulha nas imagens que moldaram o mito político de Jair Bolsonaro, de seus primeiros vídeos no YouTube até o fim de seu mandato. Ao longo de noites em claro, um narrador deriva pelo fluxo de , e discursos de Bolsonaro, em busca da lógica de um poder forjado nas imagens e através delas. Ao confrontar esse regime visual com a iconografia oficial brasileira, o filme investiga como o poder é entendido, repetido e afirmado através das imagens, em uma época em que a política se dá cada vez mais nas telas.</t>
  </si>
  <si>
    <t>Direção: Miguel Antunes Ramos | Roteiro: Guilherme Giufrida, Iris Junges, Letícia Simões, Matheus Nery, Miguel Antunes Ramos, Vicente Antunes Ramos | Produtora: Enquadramento Produções, Esquina Filmes | Produção: Julia Murat, Leonardo Mecchi | Fotografia: Léo Bittencourt | Montagem: Alexandre Leco Wahrhaftig | Música: Kiko Dinucci, Podeserdesligado</t>
  </si>
  <si>
    <t>263</t>
  </si>
  <si>
    <t>Duwid Tuminzik - Makunaima é Duwid?</t>
  </si>
  <si>
    <t>Gustavo Caboco Wapixana</t>
  </si>
  <si>
    <t>Retorno À Maloca Filmes</t>
  </si>
  <si>
    <t>Carlon Hardt</t>
  </si>
  <si>
    <t>Lucas Fernandes</t>
  </si>
  <si>
    <t>André Nigro, Hermeto Pascoal</t>
  </si>
  <si>
    <t>Roseane Cadete Wapichana, Amélia Wapichana</t>
  </si>
  <si>
    <t>O filme propõe um mergulho nas narrativas tradicionais Wapixana. Instiga uma reflexão sobre o famoso personagem Macunaíma de Mário de Andrade e suas relações com as suas raízes indígenas.</t>
  </si>
  <si>
    <t>Direção: Gustavo Caboco Wapixana | Produtora: Retorno À Maloca Filmes | Produção: Gustavo Caboco Wapixana | Fotografia: Carlon Hardt | Montagem: Lucas Fernandes | Música: André Nigro, Hermeto Pascoal | Elenco: Roseane Cadete Wapichana, Amélia Wapichana</t>
  </si>
  <si>
    <t>264</t>
  </si>
  <si>
    <t>Ela Foi Ali Guardar o Coração na Geladeira</t>
  </si>
  <si>
    <t>Cristiane Oliveira, Gustavo Galvão</t>
  </si>
  <si>
    <t>Crisol Filmes</t>
  </si>
  <si>
    <t>Cristiane Oliveira, Tula Anagnostopoulos</t>
  </si>
  <si>
    <t>Lee Ranaldo</t>
  </si>
  <si>
    <t>Verónica Perrotta, Maria Galant</t>
  </si>
  <si>
    <t>Porto Alegre, sul do Brasil, 2019. Luiza, 27 anos, recebe pela internet vídeos de uma desconhecida. Imagens do Uruguai com a voz de uma mulher chamada Verónica, que conta histórias de sua juventude ali. O que parecia ser um engano se revela uma dura verdade sobre o passado da família de Luiza: a misteriosa Verónica tem o mesmo rosto de sua mãe, já falecida.</t>
  </si>
  <si>
    <t>Direção: Cristiane Oliveira, Gustavo Galvão | Roteiro: Cristiane Oliveira, Gustavo Galvão | Produtora: Crisol Filmes | Produção: Cristiane Oliveira, Gustavo Galvão | Fotografia: Bruno Polidoro | Montagem: Cristiane Oliveira, Tula Anagnostopoulos | Música: Lee Ranaldo | Elenco: Verónica Perrotta, Maria Galant</t>
  </si>
  <si>
    <t>265</t>
  </si>
  <si>
    <t>https://letterboxd.com/film/elza/</t>
  </si>
  <si>
    <t>Elza</t>
  </si>
  <si>
    <t>Eryk Rocha</t>
  </si>
  <si>
    <t>Aruac Filmes, Maria Farinha Filmes</t>
  </si>
  <si>
    <t>Eryk Rocha, Gabriela Carneiro da Cunha, Ana Lúcia Villela, Estela Renner, Luana Lobo, Marcos Nisti, Mariana Oliva</t>
  </si>
  <si>
    <t>Miguel Vassy, Eryk Rocha, Aline Belfort, Joana Pimenta, Vitor Lopes, Lucas Barbi</t>
  </si>
  <si>
    <t>Ava Rocha, Santiago Obejero Paz</t>
  </si>
  <si>
    <t>Guilherme Kastrup</t>
  </si>
  <si>
    <t>Com sua voz radical, improvisação visceral e rouquidão inconfundível, Elza Soares criou uma linguagem única e atravessou gerações se reinventando como uma das maiores artistas do Brasil. No documentário que carrega seu nome, Elza é narradora de si mesma, tecendo um diário que une memórias, desejos e reflexões a partir da música, em confluência com filmes brasileiros históricos. Através de Elza e seu quase um século de vida, o filme revela a radiografia de um país em ebulição. A mulher do fim do mundo cantou até o fim.</t>
  </si>
  <si>
    <t>Direção: Eryk Rocha | Produtora: Aruac Filmes, Maria Farinha Filmes | Produção: Eryk Rocha, Gabriela Carneiro da Cunha, Ana Lúcia Villela, Estela Renner, Luana Lobo, Marcos Nisti, Mariana Oliva | Fotografia: Miguel Vassy, Eryk Rocha, Aline Belfort, Joana Pimenta, Vitor Lopes, Lucas Barbi | Montagem: Ava Rocha, Santiago Obejero Paz | Música: Guilherme Kastrup</t>
  </si>
  <si>
    <t>266</t>
  </si>
  <si>
    <t>Especial Afronta!</t>
  </si>
  <si>
    <t>Juliana Vicente, Carol Aó, Hanna Batista, Washington Deoli</t>
  </si>
  <si>
    <t>Juliana Vicente</t>
  </si>
  <si>
    <t>Preta Portê Filmes</t>
  </si>
  <si>
    <t>Tatiane Ursulino, Well Amorim</t>
  </si>
  <si>
    <t>Washington Deoli, Guilherme Candido, Samuel Chuengue, Nati Farias, Marcel Jabbour</t>
  </si>
  <si>
    <t>Renato Gama</t>
  </si>
  <si>
    <t>Aíça Alcântara, Ryan Sacramento, Wendy Queiroz, Kaique Brito, Cacá Nascimento, Mc Ktrine, Brisa Flow, Mapu Huni Kuin</t>
  </si>
  <si>
    <t>O universo , criado pela cineasta Juliana Vicente, se expande nesta sessão especial que reúne episódios inéditos de três novas frentes do projeto. leva ao público infantil narrativas afrocentradas com leveza e potência. dialoga com a juventude, dando continuidade ao olhar sobre trajetórias negras contemporâneas. amplia a rede afrodiaspórica ao encontro com saberes originários. Juntas, as séries reafirmam a autonomia criativa e a diversidade de vozes que constituem o ecossistema .</t>
  </si>
  <si>
    <t>Direção: Juliana Vicente, Carol Aó, Hanna Batista, Washington Deoli | Roteiro: Juliana Vicente | Produtora: Preta Portê Filmes | Produção: Juliana Vicente | Fotografia: Tatiane Ursulino, Well Amorim | Montagem: Washington Deoli, Guilherme Candido, Samuel Chuengue, Nati Farias, Marcel Jabbour | Música: Renato Gama | Elenco: Aíça Alcântara, Ryan Sacramento, Wendy Queiroz, Kaique Brito, Cacá Nascimento, Mc Ktrine, Brisa Flow, Mapu Huni Kuin</t>
  </si>
  <si>
    <t>267</t>
  </si>
  <si>
    <t>https://letterboxd.com/film/esperanca/</t>
  </si>
  <si>
    <t>Esperança</t>
  </si>
  <si>
    <t>Marcelo Corrêa da Costa Pereira, Amora Moreira</t>
  </si>
  <si>
    <t>Mariani Ferreira</t>
  </si>
  <si>
    <t>Combo Studio</t>
  </si>
  <si>
    <t>Raphael Fontenelle</t>
  </si>
  <si>
    <t>Adilson Júnior</t>
  </si>
  <si>
    <t>Hector Gomes, Isabele Riccart, Sarito Rodrigues, Victor Hugo Fernandes</t>
  </si>
  <si>
    <t>A história de uma menina negra de 12 anos que sonha em se tornar jogadora de futebol profissional na periferia do Brasil, enfrentando exclusão em campo e resistência em casa.</t>
  </si>
  <si>
    <t>Direção: Marcelo Corrêa da Costa Pereira, Amora Moreira | Roteiro: Mariani Ferreira | Produtora: Combo Studio | Produção: Combo Studio | Montagem: Raphael Fontenelle | Música: Adilson Júnior | Elenco: Hector Gomes, Isabele Riccart, Sarito Rodrigues, Victor Hugo Fernandes</t>
  </si>
  <si>
    <t>268</t>
  </si>
  <si>
    <t>https://letterboxd.com/film/feito-pipa/</t>
  </si>
  <si>
    <t>Feito Pipa</t>
  </si>
  <si>
    <t>Generation Kplus</t>
  </si>
  <si>
    <t>Allan Deberton</t>
  </si>
  <si>
    <t>André Araujo</t>
  </si>
  <si>
    <t>Deberton Filmes</t>
  </si>
  <si>
    <t>Karen Castanho, Bianca Villar, Fernando Fraiha, Allan Deberton</t>
  </si>
  <si>
    <t>Luciana Baseggio, ABC, Dafb, Daniel Donato</t>
  </si>
  <si>
    <t>Mariana Nunes Gomes</t>
  </si>
  <si>
    <t>João Victor Barroso</t>
  </si>
  <si>
    <t>Castro Francisco, Georgina Castro, Lázaro Ramos, Teca Pereira, Yuri Gomes</t>
  </si>
  <si>
    <t>Gugu sonha em se tornar um grande jogador de futebol. Criado livremente pela avó, ele fará de tudo para não precisar morar com o pai, com quem trava uma relação desafiadora. Premiado duplamente no Festival de Berlim e vencedor de cinco prêmios no Festival de Gramado 2026.</t>
  </si>
  <si>
    <t>Direção: Allan Deberton | Roteiro: André Araujo | Produtora: Deberton Filmes | Produção: Karen Castanho, Bianca Villar, Fernando Fraiha, Allan Deberton | Fotografia: Luciana Baseggio, ABC, Dafb, Daniel Donato | Montagem: Mariana Nunes Gomes | Música: João Victor Barroso | Elenco: Castro Francisco, Georgina Castro, Lázaro Ramos, Teca Pereira, Yuri Gomes</t>
  </si>
  <si>
    <t>269</t>
  </si>
  <si>
    <t>https://letterboxd.com/film/fernanda/</t>
  </si>
  <si>
    <t>Fernanda</t>
  </si>
  <si>
    <t>Pedro Waddington</t>
  </si>
  <si>
    <t>Pedro Waddington, Carolina Albuquerque, Sergio Mekler, Renata Catharino</t>
  </si>
  <si>
    <t>Conspiração</t>
  </si>
  <si>
    <t>Andrucha Waddington, Renata Brandão, Luísa Barbosa</t>
  </si>
  <si>
    <t>Pedro Waddington, João Faissal</t>
  </si>
  <si>
    <t>Sérgio Mekler, Renata Catharino</t>
  </si>
  <si>
    <t>Domenico Lancellotti, Bruno di Lullo, Eduardo Manso</t>
  </si>
  <si>
    <t>Fernanda Montenegro</t>
  </si>
  <si>
    <t>Retrato de uma das maiores atrizes brasileiras a partir daquilo que lhe é indissociável: seu ofício. O documentário acompanha Fernanda Montenegro em seus trabalhos mais recentes e retorna ao passado para mostrar a construção de uma grande atriz ao longo do tempo. Dirigido por Pedro Waddington, filho do diretor Andrucha Waddington, genro de Fernanda, o filme se apropria da relação familiar como parte do enredo, captando momentos íntimos da atriz nos bastidores e revelando registros inéditos de trabalhos feitos em família.</t>
  </si>
  <si>
    <t>Direção: Pedro Waddington | Roteiro: Pedro Waddington, Carolina Albuquerque, Sergio Mekler, Renata Catharino | Produtora: Conspiração | Produção: Andrucha Waddington, Renata Brandão, Luísa Barbosa | Fotografia: Pedro Waddington, João Faissal | Montagem: Sérgio Mekler, Renata Catharino | Música: Domenico Lancellotti, Bruno di Lullo, Eduardo Manso | Elenco: Fernanda Montenegro</t>
  </si>
  <si>
    <t>270</t>
  </si>
  <si>
    <t>Fissuras</t>
  </si>
  <si>
    <t>Diana Coelho</t>
  </si>
  <si>
    <t>Caboré Filmes, Salobra Filmes</t>
  </si>
  <si>
    <t>Johann Jean</t>
  </si>
  <si>
    <t>Marília Clara Albuquerque</t>
  </si>
  <si>
    <t>Ana Luísa Camino, Fernanda Cunha, Rosinaldo Luna</t>
  </si>
  <si>
    <t>Após a mudança da filha, Dalva passa a ouvir ruídos estranhos na casa onde sempre viveu. À medida que percebe as fissuras de um cotidiano que desmorona, algo parece querer emergir.</t>
  </si>
  <si>
    <t>Direção: Diana Coelho | Roteiro: Diana Coelho | Produtora: Caboré Filmes, Salobra Filmes | Fotografia: Johann Jean | Montagem: Marília Clara Albuquerque | Elenco: Ana Luísa Camino, Fernanda Cunha, Rosinaldo Luna</t>
  </si>
  <si>
    <t>271</t>
  </si>
  <si>
    <t>Flora &amp; Airto: O Som Revolucionário</t>
  </si>
  <si>
    <t>Jom Tob Azulay</t>
  </si>
  <si>
    <t>Jom Tob Azulay, Vinícius Nascimento</t>
  </si>
  <si>
    <t>Aeb Produções Ltda Epp</t>
  </si>
  <si>
    <t>Vinícius Nascimento</t>
  </si>
  <si>
    <t>Ricardo Bacelar</t>
  </si>
  <si>
    <t>Documentário musical de longa-metragem sobre o célebre casal de músicos Flora Purim e Airto Moreira, que marcou o panorama da música brasileira e mundial a partir dos anos 1970 como pioneiros da . Durante uma gravação fonográfica nos dias de hoje o filme entrelaça as vidas pessoais e profissionais dos dois artistas no passado e no presente.</t>
  </si>
  <si>
    <t>Direção: Jom Tob Azulay | Roteiro: Jom Tob Azulay, Vinícius Nascimento | Produtora: Aeb Produções Ltda Epp | Produção: Jom Tob Azulay | Fotografia: Luís Abramo | Montagem: Vinícius Nascimento | Música: Ricardo Bacelar</t>
  </si>
  <si>
    <t>272</t>
  </si>
  <si>
    <t>Floresta do Fim do Mundo</t>
  </si>
  <si>
    <t>Felipe M. Bragança, Denilson Baniwa</t>
  </si>
  <si>
    <t>Felipe M. Bragança</t>
  </si>
  <si>
    <t>Duas Mariola Filmes, Denilson Baniwa Estúdio</t>
  </si>
  <si>
    <t>Rafaela Campos</t>
  </si>
  <si>
    <t>Lobo Mauro</t>
  </si>
  <si>
    <t>Brisa Flow</t>
  </si>
  <si>
    <t>Iracema Pankararu, Italo Martins, Ywyzar Tentehar</t>
  </si>
  <si>
    <t>Iracema, uma mulher indígena, vive em uma grande cidade brasileira. Divide seus dias entre o trabalho pesado em um centro de reciclagem e sonhos em que conversa com uma misteriosa floresta. Estreia mundial no Festival de Cinema de Berlim 2026.</t>
  </si>
  <si>
    <t>Direção: Felipe M. Bragança, Denilson Baniwa | Roteiro: Felipe M. Bragança | Produtora: Duas Mariola Filmes, Denilson Baniwa Estúdio | Produção: Rafaela Campos | Fotografia: Guilherme Tostes | Montagem: Lobo Mauro | Música: Brisa Flow | Elenco: Iracema Pankararu, Italo Martins, Ywyzar Tentehar</t>
  </si>
  <si>
    <t>273</t>
  </si>
  <si>
    <t>Fortaleza</t>
  </si>
  <si>
    <t>Michel Stolnicki</t>
  </si>
  <si>
    <t>Hand-In-Hand</t>
  </si>
  <si>
    <t>Luiz Miler</t>
  </si>
  <si>
    <t>Carlos Cardona</t>
  </si>
  <si>
    <t>Luiz Andrade</t>
  </si>
  <si>
    <t>Felipe Mafra</t>
  </si>
  <si>
    <t>Deise Lopes Soares, Laiane Saraiva de Araújo, Maria Isadora Soares, Roberto Felix</t>
  </si>
  <si>
    <t>O Brasil se prepara para receber o mundo. Isadora se prepara para conquistar o seu lugar nele.</t>
  </si>
  <si>
    <t>Direção: Michel Stolnicki | Roteiro: Michel Stolnicki | Produtora: Hand-In-Hand | Produção: Luiz Miler | Fotografia: Carlos Cardona | Montagem: Luiz Andrade | Música: Felipe Mafra | Elenco: Deise Lopes Soares, Laiane Saraiva de Araújo, Maria Isadora Soares, Roberto Felix</t>
  </si>
  <si>
    <t>274</t>
  </si>
  <si>
    <t>Fui Olhar Você Dormir</t>
  </si>
  <si>
    <t>Anna Azevedo</t>
  </si>
  <si>
    <t>Anna Azevedo, Cláudio Uchôa</t>
  </si>
  <si>
    <t>Butterfly Filmes</t>
  </si>
  <si>
    <t>Anna Azevedo, Izabella Faya</t>
  </si>
  <si>
    <t>Nina Galanternick</t>
  </si>
  <si>
    <t>Aldir Blanc</t>
  </si>
  <si>
    <t>Mari Sá Freire, Aldir Blanc</t>
  </si>
  <si>
    <t>São 35 anos na vida de um casal, narrados por 2 mil bilhetes e imagens de família. Amor, ciúmes, dor, superação e morte comentados por Aldir Blanc, criador de alguns dos versos mais belos da MPB – como em O Bêbado e a Equilibrista, endereçados à mulher, Mari Lúcia. Seis anos após a morte de Aldir, os bilhetes continuam a brotar, escondidos em objetos no apartamento do casal, no bairro carioca da Tijuca. Mari revisita cenas esquecidas e abre o emocionante baú de bilhetes no ano em que Aldir, morto de Covid-19 em 2020, completaria 80 anos.</t>
  </si>
  <si>
    <t>Direção: Anna Azevedo | Roteiro: Anna Azevedo, Cláudio Uchôa | Produtora: Butterfly Filmes | Produção: Anna Azevedo, Izabella Faya | Fotografia: Léo Bittencourt | Montagem: Nina Galanternick | Música: Aldir Blanc | Elenco: Mari Sá Freire, Aldir Blanc</t>
  </si>
  <si>
    <t>275</t>
  </si>
  <si>
    <t>https://letterboxd.com/film/fundura/</t>
  </si>
  <si>
    <t>Fundura</t>
  </si>
  <si>
    <t>Catapreta</t>
  </si>
  <si>
    <t>Ímã de Mamão Filmes</t>
  </si>
  <si>
    <t>Daniel Nunes, Camilo Gan, Ajítenà Marco Scarassatti</t>
  </si>
  <si>
    <t>Zora Santos</t>
  </si>
  <si>
    <t>Um filho desgarrado é salvo por uma força ancestral que julgava ter deixado para trás.</t>
  </si>
  <si>
    <t>Direção: Catapreta | Roteiro: Catapreta | Produtora: Ímã de Mamão Filmes | Produção: Catapreta | Fotografia: Catapreta | Montagem: Catapreta | Música: Daniel Nunes, Camilo Gan, Ajítenà Marco Scarassatti | Elenco: Zora Santos</t>
  </si>
  <si>
    <t>276</t>
  </si>
  <si>
    <t>https://letterboxd.com/film/funk/</t>
  </si>
  <si>
    <t>Funk</t>
  </si>
  <si>
    <t>ALY MURITIBA, SABOTHATI (diretora assistente)</t>
  </si>
  <si>
    <t>Fernando Barcellos, Leandro Saraiva, Aly Muritiba, Taísa Machado</t>
  </si>
  <si>
    <t>Paranoid Filmes</t>
  </si>
  <si>
    <t>Inti Briones, ABC, Dfp, Acc</t>
  </si>
  <si>
    <t>Karen Akerman, Edt., Paulão de Barros</t>
  </si>
  <si>
    <t>Érico Theobaldo, Dj Renan Valle</t>
  </si>
  <si>
    <t>Duda Santos, Mc Nem, Lelê, Kibba, Crazzy Jaff</t>
  </si>
  <si>
    <t>MC Sabrina, jovem funkeira, é conhecida por agitar bailes nas favelas cariocas. Seu talento está no sangue: ela é filha da MC Priscila, uma funkeira pioneira que não soube administrar o sucesso e perdeu tudo. Morando juntas no Morro dos Prazeres, mãe e filha têm uma relação conflituosa, que fica ainda mais complicada quando Sabrina desperta a atenção de Alberto, um produtor musical de sucesso. Ele promete transformá-la numa estrela, mas para isso Sabrina terá que mudar de imagem, abandonando suas raízes.</t>
  </si>
  <si>
    <t>Direção: ALY MURITIBA, SABOTHATI (diretora assistente) | Roteiro: Fernando Barcellos, Leandro Saraiva, Aly Muritiba, Taísa Machado | Produtora: Paranoid Filmes | Fotografia: Inti Briones, ABC, Dfp, Acc | Montagem: Karen Akerman, Edt., Paulão de Barros | Música: Érico Theobaldo, Dj Renan Valle | Elenco: Duda Santos, Mc Nem, Lelê, Kibba, Crazzy Jaff</t>
  </si>
  <si>
    <t>277</t>
  </si>
  <si>
    <t>Helena! Cinema!</t>
  </si>
  <si>
    <t>Cavi Borges, Christian Caselli</t>
  </si>
  <si>
    <t>Cavi Borges</t>
  </si>
  <si>
    <t>CAVIDEO Produção/ Production: MARCOS ARZUA</t>
  </si>
  <si>
    <t>Christian Caselli</t>
  </si>
  <si>
    <t>Patricia Niedermeier</t>
  </si>
  <si>
    <t>Helena Ignez</t>
  </si>
  <si>
    <t>Helena Ignez é uma atriz experimental do cinema brasileiro. Helena Ignez é uma cineasta do cinema brasileiro. Helena Ignez é o cinema!</t>
  </si>
  <si>
    <t>Direção: Cavi Borges, Christian Caselli | Roteiro: Cavi Borges | Produtora: CAVIDEO Produção/ Production: MARCOS ARZUA | Fotografia: Guilherme Tostes | Montagem: Christian Caselli | Música: Patricia Niedermeier | Elenco: Helena Ignez</t>
  </si>
  <si>
    <t>278</t>
  </si>
  <si>
    <t>https://letterboxd.com/film/isabel/</t>
  </si>
  <si>
    <t>Isabel</t>
  </si>
  <si>
    <t>Gabe Klinger</t>
  </si>
  <si>
    <t>Gabe Klinger, Marina Person</t>
  </si>
  <si>
    <t>Rt Features, Isabel Filmes</t>
  </si>
  <si>
    <t>Rodrigo Teixeira</t>
  </si>
  <si>
    <t>Flora Dias, Dafb</t>
  </si>
  <si>
    <t>Umberto Smerilli</t>
  </si>
  <si>
    <t>Marina Person, Caio Horowicz, Marat Descartes, Gregory Chastang, John Ortiz, Clarisse Abujamra, Plínio Soares, Michelle Ellyse, Giovanna Nader, Daniela Bravin, Cássia Campos</t>
  </si>
  <si>
    <t>Isabel, uma sommelière frustrada na alta gastronomia paulistana, sonha em deixar o seu atual emprego em um restaurante tradicional e abrir seu próprio bar de vinhos, onde terá total liberdade criativa. Quando seus planos não evoluem como o esperado, Isabel precisa decidir entre abandonar sua ideia ou arriscar tudo para seguir num caminho independente.</t>
  </si>
  <si>
    <t>Direção: Gabe Klinger | Roteiro: Gabe Klinger, Marina Person | Produtora: Rt Features, Isabel Filmes | Produção: Rodrigo Teixeira | Fotografia: Flora Dias, Dafb | Montagem: Gabe Klinger | Música: Umberto Smerilli | Elenco: Marina Person, Caio Horowicz, Marat Descartes, Gregory Chastang, John Ortiz, Clarisse Abujamra, Plínio Soares, Michelle Ellyse, Giovanna Nader, Daniela Bravin, Cássia Campos</t>
  </si>
  <si>
    <t>279</t>
  </si>
  <si>
    <t>https://letterboxd.com/film/janela-da-alma/</t>
  </si>
  <si>
    <t>Janela da Alma</t>
  </si>
  <si>
    <t>2001</t>
  </si>
  <si>
    <t>João Jardim, Walter Carvalho</t>
  </si>
  <si>
    <t>João Jardim</t>
  </si>
  <si>
    <t>Tambellini Filmes</t>
  </si>
  <si>
    <t>Flavio R Tambellini, João Jardim</t>
  </si>
  <si>
    <t>Walter Carvalho</t>
  </si>
  <si>
    <t>Karen Harley, João Jardim</t>
  </si>
  <si>
    <t>José Miguel Wisnick</t>
  </si>
  <si>
    <t>Win Wenders, Hermeto Paschoal, Agnés Varda</t>
  </si>
  <si>
    <t>Dezenove pessoas com diferentes condições visuais, da miopia discreta à cegueira total, refletem sobre como veem a si mesmas, os outros e o mundo. Reunindo depoimentos de José Saramago, Hermeto Pascoal, Agnès Varda, Wim Wenders, Oliver Sacks e do fotógrafo cego Evgen Bavcar, o documentário constrói um ensaio poético e bem-humorado que questiona o que significa ver — e quanto da realidade pode ser alcançado pelos olhos.</t>
  </si>
  <si>
    <t>Direção: João Jardim, Walter Carvalho | Roteiro: João Jardim | Produtora: Tambellini Filmes | Produção: Flavio R Tambellini, João Jardim | Fotografia: Walter Carvalho | Montagem: Karen Harley, João Jardim | Música: José Miguel Wisnick | Elenco: Win Wenders, Hermeto Paschoal, Agnés Varda</t>
  </si>
  <si>
    <t>280</t>
  </si>
  <si>
    <t>https://letterboxd.com/film/jardim-dos-silencios/</t>
  </si>
  <si>
    <t>Jardim dos Silêncios</t>
  </si>
  <si>
    <t>Henrique Dantas</t>
  </si>
  <si>
    <t>Muiraquitã Filmes, Hamaca Filmes</t>
  </si>
  <si>
    <t>Eliane Ferreira, Henrique Dantas</t>
  </si>
  <si>
    <t>Pedro Semanovschi</t>
  </si>
  <si>
    <t>Joana Collier</t>
  </si>
  <si>
    <t>Tiganá Santana, Dori Caymmi</t>
  </si>
  <si>
    <t>Fabrício Boliveira, Helena Ignez, Luiz Pepeu, Federica de Benedittis</t>
  </si>
  <si>
    <t>A trajetória de Tuã, médico oncologista negro que, ainda criança, parte do Brasil com a mãe depois que sua família enfrenta uma sequência de tragédias durante o período militar. Anos mais tarde, já adulto e vivendo na Itália, ele é tomado por estranhos sentimentos diante da morte da mãe. Movido por esse abalo silencioso, Tuã decide retornar à Bahia para reencontrar os avós, revisitar o passado e descobrir novos sentidos para o presente.</t>
  </si>
  <si>
    <t>Direção: Henrique Dantas | Roteiro: Henrique Dantas | Produtora: Muiraquitã Filmes, Hamaca Filmes | Produção: Eliane Ferreira, Henrique Dantas | Fotografia: Pedro Semanovschi | Montagem: Joana Collier | Música: Tiganá Santana, Dori Caymmi | Elenco: Fabrício Boliveira, Helena Ignez, Luiz Pepeu, Federica de Benedittis</t>
  </si>
  <si>
    <t>281</t>
  </si>
  <si>
    <t>https://letterboxd.com/film/joqueta/</t>
  </si>
  <si>
    <t>Joqueta</t>
  </si>
  <si>
    <t>Luciana Vieira</t>
  </si>
  <si>
    <t>Orla Filmes</t>
  </si>
  <si>
    <t>Gabriela Matarazzo, Claudia Chakmati</t>
  </si>
  <si>
    <t>Dani Correia</t>
  </si>
  <si>
    <t>Mariana Nunes Gomes, Victor Costa Lopes</t>
  </si>
  <si>
    <t>Pedro Madeira</t>
  </si>
  <si>
    <t>Carlos Francisco, Nathyel Martins, Pipa Leiga</t>
  </si>
  <si>
    <t>Filipa, uma jovem jóquei de talento ainda desconhecido, vive à sombra do irmão até que, após ele se machucar, precisa substituí-lo em uma corrida e finalmente tem a chance de mostrar quem realmente é.</t>
  </si>
  <si>
    <t>Direção: Luciana Vieira | Roteiro: Luciana Vieira | Produtora: Orla Filmes | Produção: Gabriela Matarazzo, Claudia Chakmati | Fotografia: Dani Correia | Montagem: Mariana Nunes Gomes, Victor Costa Lopes | Música: Pedro Madeira | Elenco: Carlos Francisco, Nathyel Martins, Pipa Leiga</t>
  </si>
  <si>
    <t>282</t>
  </si>
  <si>
    <t>https://letterboxd.com/film/justino-nos-bastidores-do-reino/</t>
  </si>
  <si>
    <t>Justino - Nos Bastidores do Reino</t>
  </si>
  <si>
    <t>José Eduardo Belmonte</t>
  </si>
  <si>
    <t>José Eduardo Belmonte, Ewerton Belico, Sérgio Moriconi, Nilson Rodrigues</t>
  </si>
  <si>
    <t>Mercado Filmes</t>
  </si>
  <si>
    <t>Nilson Rodrigues</t>
  </si>
  <si>
    <t>Leslie Montero</t>
  </si>
  <si>
    <t>André Finotti, José Eduardo Belmonte</t>
  </si>
  <si>
    <t>Flavia Tygel</t>
  </si>
  <si>
    <t>Larissa Nunes, Antônio Pitanga, Caio Blat, Christian Malheiros, Onna Silva</t>
  </si>
  <si>
    <t>Na periferia do Rio de Janeiro no início da década de 1980, Justino encontra em uma poderosa igreja neopentecostal a chance de sair da pobreza e mudar de vida. Em sua rápida ascensão e no sucesso como pastor, estão desejos reprimidos, segredos, ambição e traição. Quinze anos depois, ele quer acertar as contas com o seu passado.</t>
  </si>
  <si>
    <t>Direção: José Eduardo Belmonte | Roteiro: José Eduardo Belmonte, Ewerton Belico, Sérgio Moriconi, Nilson Rodrigues | Produtora: Mercado Filmes | Produção: Nilson Rodrigues | Fotografia: Leslie Montero | Montagem: André Finotti, José Eduardo Belmonte | Música: Flavia Tygel | Elenco: Larissa Nunes, Antônio Pitanga, Caio Blat, Christian Malheiros, Onna Silva</t>
  </si>
  <si>
    <t>283</t>
  </si>
  <si>
    <t>Lagoa do Abandono</t>
  </si>
  <si>
    <t>Diego Maia</t>
  </si>
  <si>
    <t>Diego Maia, Natália Parente</t>
  </si>
  <si>
    <t>Barra Nova</t>
  </si>
  <si>
    <t>João Victor Barroso, Vitor Cozilos, Marta Aurélia, Éden Barbosa</t>
  </si>
  <si>
    <t>Em 2040, na degradada Lagoa de Messejana, um casal de garças luta para encontrar um lugar para construir um ninho, enquanto a aproximação de trabalhadores e máquinas se torna uma ameaça crescente.</t>
  </si>
  <si>
    <t>Direção: Diego Maia | Roteiro: Diego Maia, Natália Parente | Produtora: Barra Nova | Fotografia: Diego Maia | Montagem: Diego Maia | Música: João Victor Barroso, Vitor Cozilos, Marta Aurélia, Éden Barbosa | Elenco: Animação</t>
  </si>
  <si>
    <t>284</t>
  </si>
  <si>
    <t>Laser-Gato</t>
  </si>
  <si>
    <t>La Cinef</t>
  </si>
  <si>
    <t>Lucas Acher</t>
  </si>
  <si>
    <t>Bruto Films, Balcão Filmes</t>
  </si>
  <si>
    <t>João Pereira Webber, Naa Adei Mante, Giovanni Labadessa</t>
  </si>
  <si>
    <t>Thiago Cunha</t>
  </si>
  <si>
    <t>Jude Shih</t>
  </si>
  <si>
    <t>Gabriel Brennecke, Gilda Nomacce, Renan Vilela</t>
  </si>
  <si>
    <t>Quando uma brincadeira com um laser dá errado, resultando em um gato ferido, Theo, um adolescente, atravessa São Paulo à noite tentando salvá-lo, enquanto culpa e paranoia transformam sua percepção da cidade. Vencedor da Mostra La Cinef, em Cannes.</t>
  </si>
  <si>
    <t>Direção: Lucas Acher | Produtora: Bruto Films, Balcão Filmes | Produção: João Pereira Webber, Naa Adei Mante, Giovanni Labadessa | Fotografia: Thiago Cunha | Montagem: Lucas Acher | Música: Jude Shih | Elenco: Gabriel Brennecke, Gilda Nomacce, Renan Vilela</t>
  </si>
  <si>
    <t>285</t>
  </si>
  <si>
    <t>https://letterboxd.com/film/london/</t>
  </si>
  <si>
    <t>London</t>
  </si>
  <si>
    <t>Semana da Crítica</t>
  </si>
  <si>
    <t>Victor di Marco, Márcio Picoli</t>
  </si>
  <si>
    <t>Proa &amp; Popa Produções</t>
  </si>
  <si>
    <t>Laura Moglia, Aline Gutierres, Márcio Picoli, Victor di Marco</t>
  </si>
  <si>
    <t>Bruno Polidoro, ABC</t>
  </si>
  <si>
    <t>Will Domingos, Edt.</t>
  </si>
  <si>
    <t>Vito O. Azevedo</t>
  </si>
  <si>
    <t>Victor di Marco, Jéssica Teixeira, Pedro Bertoldi, Carla Cassapo, Priscila Colombi</t>
  </si>
  <si>
    <t>London, um jovem com deficiência que trabalha em uma casa de fetiches, se vê diante de um dilema inesperado ao receber a oportunidade de compreender seu corpo por meio de um exame médico. Vencedor do Queer Lion na Semana da Crítica do Festival de Veneza 2026.</t>
  </si>
  <si>
    <t>Direção: Victor di Marco, Márcio Picoli | Roteiro: Victor di Marco, Márcio Picoli | Produtora: Proa &amp; Popa Produções | Produção: Laura Moglia, Aline Gutierres, Márcio Picoli, Victor di Marco | Fotografia: Bruno Polidoro, ABC | Montagem: Will Domingos, Edt. | Música: Vito O. Azevedo | Elenco: Victor di Marco, Jéssica Teixeira, Pedro Bertoldi, Carla Cassapo, Priscila Colombi</t>
  </si>
  <si>
    <t>286</t>
  </si>
  <si>
    <t>https://letterboxd.com/film/malick/</t>
  </si>
  <si>
    <t>Malick</t>
  </si>
  <si>
    <t>Cassio Tolpolar, Modou Awa Dieye</t>
  </si>
  <si>
    <t>Cassio Tolpolar, Adry Silva, Modou Awa Dieye</t>
  </si>
  <si>
    <t>Mamaliga Films</t>
  </si>
  <si>
    <t>Cassio Tolpolar</t>
  </si>
  <si>
    <t>Milton do Prado</t>
  </si>
  <si>
    <t>Dj Dolores</t>
  </si>
  <si>
    <t>Modou Awa Dieye, Pâmela Machado, Fallou Kourouma, Mamadou Sène, Frederico Vittola</t>
  </si>
  <si>
    <t>A vida do imigrante senegalês Malick muda repentinamente quando Toni, a pessoa que ele acredita ser o perigoso coiote que o trouxe ao Brasil, reaparece em seu caminho. Inspirado na história verídica de Modou Awa Dieye.</t>
  </si>
  <si>
    <t>Direção: Cassio Tolpolar, Modou Awa Dieye | Roteiro: Cassio Tolpolar, Adry Silva, Modou Awa Dieye | Produtora: Mamaliga Films | Produção: Cassio Tolpolar | Fotografia: Bruno Polidoro | Montagem: Milton do Prado | Música: Dj Dolores | Elenco: Modou Awa Dieye, Pâmela Machado, Fallou Kourouma, Mamadou Sène, Frederico Vittola</t>
  </si>
  <si>
    <t>287</t>
  </si>
  <si>
    <t>https://letterboxd.com/film/maria-de-maria/</t>
  </si>
  <si>
    <t>Maria de Maria</t>
  </si>
  <si>
    <t>Luiza Shelling Tubaldini</t>
  </si>
  <si>
    <t>Luiza Shelling Tubaldini, Pablo Padilla</t>
  </si>
  <si>
    <t>Filmland Internacional</t>
  </si>
  <si>
    <t>Danilo Lemos</t>
  </si>
  <si>
    <t>Otavio de Moraes</t>
  </si>
  <si>
    <t>Nanda Costta, João Campos, César Ferrario, Antonio Grassi, Iara Campos</t>
  </si>
  <si>
    <t>Brasil, 1940. Maria, uma jovem cangaceira, descobre-se grávida e, após o extermínio de seu bando, foge para o Centro-Oeste para dar à luz e recomeçar a vida. Ingressa no programa governamental Marcha para o Oeste, de Getúlio Vargas, que prometia 30 hectares de terra a pequenos agricultores. Na primeira metade, Maria enfrenta a natureza indomável plantar é uma arte. Na segunda, o passado vem buscá-la, e ela terá que provar toda a sua mais indômita bravura.</t>
  </si>
  <si>
    <t>Direção: Luiza Shelling Tubaldini | Roteiro: Luiza Shelling Tubaldini, Pablo Padilla | Produtora: Filmland Internacional | Produção: Luiza Shelling Tubaldini | Fotografia: Jacob Solitrenick | Montagem: Danilo Lemos | Música: Otavio de Moraes | Elenco: Nanda Costta, João Campos, César Ferrario, Antonio Grassi, Iara Campos</t>
  </si>
  <si>
    <t>288</t>
  </si>
  <si>
    <t>Marília Mendonça: Sentimento Louco</t>
  </si>
  <si>
    <t>Valentina Castello Branco, Gabriela Altaf</t>
  </si>
  <si>
    <t>Chatrone, Kromaki</t>
  </si>
  <si>
    <t>Gabriela Franca</t>
  </si>
  <si>
    <t>Pedro Faerstein</t>
  </si>
  <si>
    <t>Pedro Bronz, Victor Abreu, Pedro Asbeg</t>
  </si>
  <si>
    <t>Flávia Tygel</t>
  </si>
  <si>
    <t>O que torna uma garota comum do coração do Brasil um fenômeno? Através de imagens, áudios e entrevistas inéditas, a série acompanha a ascensão meteórica de Marília Mendonça, que começou a carreira cantando em um posto de gasolina e se tornou uma das maiores artistas da atualidade.</t>
  </si>
  <si>
    <t>Direção: Susanna Lira | Roteiro: Valentina Castello Branco, Gabriela Altaf | Produtora: Chatrone, Kromaki | Produção: Gabriela Franca | Fotografia: Pedro Faerstein | Montagem: Pedro Bronz, Victor Abreu, Pedro Asbeg | Música: Flávia Tygel</t>
  </si>
  <si>
    <t>289</t>
  </si>
  <si>
    <t>Mario Carneiro - Gravura Feita de Luz</t>
  </si>
  <si>
    <t>Beth Formaggini</t>
  </si>
  <si>
    <t>4 Ventos</t>
  </si>
  <si>
    <t>4ventos</t>
  </si>
  <si>
    <t>Luis Felipe Sá, André Sampaio</t>
  </si>
  <si>
    <t>Flavia Celestino</t>
  </si>
  <si>
    <t>Hurtmold</t>
  </si>
  <si>
    <t>Mario Carneiro</t>
  </si>
  <si>
    <t>Artista plástico, cineasta e um dos principais diretores de fotografia do Cinema Novo, Mário Carneiro está no centro deste retrato. A montagem aproxima sequências dos filmes que dirigiu ou fotografou de sua obra como pintor expressionista e gravador, revelando o diálogo entre cinema e artes plásticas em seu trabalho. Com humor, ele conduz o público pelos caminhos de sua formação e compartilha seu processo criativo e as escolhas estéticas que marcaram sua trajetória.</t>
  </si>
  <si>
    <t>Direção: Beth Formaggini | Roteiro: Beth Formaggini | Produtora: 4 Ventos | Produção: 4ventos | Fotografia: Luis Felipe Sá, André Sampaio | Montagem: Flavia Celestino | Música: Hurtmold | Elenco: Mario Carneiro</t>
  </si>
  <si>
    <t>290</t>
  </si>
  <si>
    <t>Me Deixa Ser</t>
  </si>
  <si>
    <t>Let Us Be</t>
  </si>
  <si>
    <t>Brasil, Estados Unidos, Índia</t>
  </si>
  <si>
    <t>Viviane D'avilla</t>
  </si>
  <si>
    <t>Viviane D'avilla, Paulo Farias, Hida Viloria</t>
  </si>
  <si>
    <t>Dona Rosa Filmes</t>
  </si>
  <si>
    <t>Mariana Marinho, Marco Abujamra, Iz Web</t>
  </si>
  <si>
    <t>Milena Seta, Jordan Quellman</t>
  </si>
  <si>
    <t>Ligia Arruda, João Diaz</t>
  </si>
  <si>
    <t>Gil Gregório</t>
  </si>
  <si>
    <t>Aanandh, Carolina Iara, Hida Viloria</t>
  </si>
  <si>
    <t>Um retrato íntimo de pessoas intersexo — que nascem com características sexuais que não se enquadram nas definições típicas de masculino ou feminino — na Índia, no Brasil e nos Estados Unidos. Através de histórias pessoais, o filme revela a luta pelos direitos humanos diante de cirurgias não consentidas em crianças intersexo, questionando os binarismos rígidos que moldam nossa compreensão sobre sexo e gênero, convidando o público a repensar as normas impostas aos corpos e às identidades, uma reflexão sobre autonomia, dignidade e a beleza da diversidade humana.</t>
  </si>
  <si>
    <t>Direção: Viviane D'avilla | Roteiro: Viviane D'avilla, Paulo Farias, Hida Viloria | Produtora: Dona Rosa Filmes | Produção: Mariana Marinho, Marco Abujamra, Iz Web | Fotografia: Milena Seta, Jordan Quellman | Montagem: Ligia Arruda, João Diaz | Música: Gil Gregório | Elenco: Aanandh, Carolina Iara, Hida Viloria</t>
  </si>
  <si>
    <t>291</t>
  </si>
  <si>
    <t>https://letterboxd.com/film/medley/</t>
  </si>
  <si>
    <t>Medley</t>
  </si>
  <si>
    <t>Ana Luiza Azevedo</t>
  </si>
  <si>
    <t>Keka Reis</t>
  </si>
  <si>
    <t>Panorâmica</t>
  </si>
  <si>
    <t>Mara Lobão, Rodrigo Montenegro</t>
  </si>
  <si>
    <t>Lílis Soares</t>
  </si>
  <si>
    <t>Giba Assim Brasil, Edt</t>
  </si>
  <si>
    <t>Leo H</t>
  </si>
  <si>
    <t>Alana Cabral , André Ramiro, Guthierry Sotero, Mariana Lima, Mel Maia</t>
  </si>
  <si>
    <t>Lola, 16 anos, é uma menina solitária, marcada pela misteriosa ausência do pai. Nadadora, apesar da coleção de medalhas, não consegue praticar o estilo borboleta. A relação com a mãe é difícil, e depois de uma briga, decide passar as férias sozinha em Salto Bonito. Apaixona-se, faz novos amigos e entra para o combalido time de natação da cidade. Agora, toda vez que está na água, novas emoções despertam memórias do passado. Às vésperas de um importante campeonato, Lola se vê diante do desafio de enfrentar medos e traumas que nunca imaginou, incluindo a verdade sobre o pai.</t>
  </si>
  <si>
    <t>Direção: Ana Luiza Azevedo | Roteiro: Keka Reis | Produtora: Panorâmica | Produção: Mara Lobão, Rodrigo Montenegro | Fotografia: Lílis Soares | Montagem: Giba Assim Brasil, Edt | Música: Leo H | Elenco: Alana Cabral , André Ramiro, Guthierry Sotero, Mariana Lima, Mel Maia</t>
  </si>
  <si>
    <t>292</t>
  </si>
  <si>
    <t>https://letterboxd.com/film/minha-primeira-namorada/</t>
  </si>
  <si>
    <t>Minha Primeira Namorada</t>
  </si>
  <si>
    <t>Jonathan Haagensen, Kátia Lund</t>
  </si>
  <si>
    <t>Luanna Guimarães, Bárbara Velloso</t>
  </si>
  <si>
    <t>Black Pen Filmes</t>
  </si>
  <si>
    <t>Jonathan Haagensen, Mariana Veil</t>
  </si>
  <si>
    <t>Lilis Soares</t>
  </si>
  <si>
    <t>Yan Motta</t>
  </si>
  <si>
    <t>Heaven Loops</t>
  </si>
  <si>
    <t>Carla Cristina Cardoso, Cecília Chancez, Cridemar Aquino, Faiska Alves, Flávio Bauraqui, Jordana Morena, Noemia Oliveira, Pedro Ottoni</t>
  </si>
  <si>
    <t>O jovem cantor Paulinho viraliza na internet com uma antiga música feita para seu primeiro amor, Nina. Ao ver o sucesso do vídeo, Nina reaparece com uma proposta: Paulinho deve fazer shows de pagode para salvar a falida loja de noivas do pai dela. Em troca, ela promete ajudá-lo a encontrar uma nova namorada. Ele aceita o acordo para esconder que ainda gosta dela, mas a convivência forçada faz o antigo romance renascer.</t>
  </si>
  <si>
    <t>Direção: Jonathan Haagensen, Kátia Lund | Roteiro: Luanna Guimarães, Bárbara Velloso | Produtora: Black Pen Filmes | Produção: Jonathan Haagensen, Mariana Veil | Fotografia: Lilis Soares | Montagem: Yan Motta | Música: Heaven Loops | Elenco: Carla Cristina Cardoso, Cecília Chancez, Cridemar Aquino, Faiska Alves, Flávio Bauraqui, Jordana Morena, Noemia Oliveira, Pedro Ottoni</t>
  </si>
  <si>
    <t>293</t>
  </si>
  <si>
    <t>https://letterboxd.com/film/mira/</t>
  </si>
  <si>
    <t>Mira</t>
  </si>
  <si>
    <t>Brasil, França</t>
  </si>
  <si>
    <t>Daniella Saba</t>
  </si>
  <si>
    <t>Horizonte Filmes</t>
  </si>
  <si>
    <t>Mariana Mitre</t>
  </si>
  <si>
    <t>Isadora Brant</t>
  </si>
  <si>
    <t>Sarah Salem</t>
  </si>
  <si>
    <t>Ana Vitória, Gerônimo Filho, Raíza Dezorzi, Waddas Magalhães</t>
  </si>
  <si>
    <t>Mira sonha em ser caminhoneira. Ela cresceu entre motoristas em uma área de descanso. Mas seu corpo está mudando, assim como o olhar dos outros. Uma ameaça ao seu sonho que Mira não está disposta a aceitar. Exibido no Festival de Curtas de São Paulo.</t>
  </si>
  <si>
    <t>Direção: Daniella Saba | Roteiro: Daniella Saba | Produtora: Horizonte Filmes | Produção: Mariana Mitre | Fotografia: Isadora Brant | Montagem: Sarah Salem | Elenco: Ana Vitória, Gerônimo Filho, Raíza Dezorzi, Waddas Magalhães</t>
  </si>
  <si>
    <t>294</t>
  </si>
  <si>
    <t>Morfeu e Caronte</t>
  </si>
  <si>
    <t>Jocimar Dias Jr, Luiz Ulian</t>
  </si>
  <si>
    <t>Luiz Ulian, Jocimar Dias Jr.</t>
  </si>
  <si>
    <t>Caraduá Produções</t>
  </si>
  <si>
    <t>Hadija Chalupe, Jamile Chalupe, Luiz Ulian, Jocimar Dias Jr.</t>
  </si>
  <si>
    <t>Vitor Novaes</t>
  </si>
  <si>
    <t>Peterkino</t>
  </si>
  <si>
    <t>Guilherme Nogueira</t>
  </si>
  <si>
    <t>Bayard Tonelli, Marco Canonici, Tony Reis</t>
  </si>
  <si>
    <t>Neste musical, sonho e realidade se confundem à medida que um trisal de idosos gays lida com a proximidade da morte — Zito, que foi diagnosticado com demência, e seus dois companheiros, Morfeu e Caronte.</t>
  </si>
  <si>
    <t>Direção: Jocimar Dias Jr, Luiz Ulian | Roteiro: Luiz Ulian, Jocimar Dias Jr. | Produtora: Caraduá Produções | Produção: Hadija Chalupe, Jamile Chalupe, Luiz Ulian, Jocimar Dias Jr. | Fotografia: Vitor Novaes | Montagem: Peterkino | Música: Guilherme Nogueira | Elenco: Bayard Tonelli, Marco Canonici, Tony Reis</t>
  </si>
  <si>
    <t>295</t>
  </si>
  <si>
    <t>https://letterboxd.com/film/mounir/</t>
  </si>
  <si>
    <t>Mounir</t>
  </si>
  <si>
    <t>Juliana Borges</t>
  </si>
  <si>
    <t>Juliana Borges, Oswaldo Santana</t>
  </si>
  <si>
    <t>Ver Pra Crer Produções</t>
  </si>
  <si>
    <t>Mounir Ismael, Carolina Kotscho, Clara Ramos, Fernando Nogueira, Giovana Amano, Heloisa Jinzenji, Juliana Borges, Pedro Gorski, Renata Martins</t>
  </si>
  <si>
    <t>Ricardo Stockler</t>
  </si>
  <si>
    <t>Oswaldo Santana</t>
  </si>
  <si>
    <t>Pedro Santiago e C-Afrobrasil</t>
  </si>
  <si>
    <t>Mounir Ismael, Juliana Borges</t>
  </si>
  <si>
    <t>Para o carismático refugiado centro-africano Mounir, contar histórias é uma estratégia de sobrevivência. Ele convence uma jovem cineasta brasileira a fazer um filme sobre sua vida e, ao longo de anos de filmagens por três continentes, nasce um vínculo entre os dois. Até que um acontecimento inesperado coloca essa parceria em xeque. Seguindo a improvável vida de Mounir entre 2014 e 2024, o filme se constroi a partir da relação entre personagem e diretora, explorando os afetos e contradições que os unem na tentativa de concluir este projeto.</t>
  </si>
  <si>
    <t>Direção: Juliana Borges | Roteiro: Juliana Borges, Oswaldo Santana | Produtora: Ver Pra Crer Produções | Produção: Mounir Ismael, Carolina Kotscho, Clara Ramos, Fernando Nogueira, Giovana Amano, Heloisa Jinzenji, Juliana Borges, Pedro Gorski, Renata Martins | Fotografia: Ricardo Stockler | Montagem: Oswaldo Santana | Música: Pedro Santiago e C-Afrobrasil | Elenco: Mounir Ismael, Juliana Borges</t>
  </si>
  <si>
    <t>296</t>
  </si>
  <si>
    <t>https://letterboxd.com/film/mr-wonderful/</t>
  </si>
  <si>
    <t>Mr. Wonderful</t>
  </si>
  <si>
    <t>Simone Melamed</t>
  </si>
  <si>
    <t>Modo Operante Produções</t>
  </si>
  <si>
    <t>Susanna Lira, Tito Gomes</t>
  </si>
  <si>
    <t>Rafael Mazza</t>
  </si>
  <si>
    <t>Ítalo Rocha</t>
  </si>
  <si>
    <t>Tito Gomes</t>
  </si>
  <si>
    <t>Raphael Elias</t>
  </si>
  <si>
    <t>Um mergulho no universo de Luiz de Freitas, mais conhecido como Mr. Wonderful, o primeiro estilista negro do Brasil. Nascido em Pau Grande, no interior do Rio de Janeiro, ele desafiou convenções e revolucionou a moda masculina brasileira com sua personalidade singular, sua marca e seus desfiles.</t>
  </si>
  <si>
    <t>Direção: Susanna Lira | Roteiro: Simone Melamed | Produtora: Modo Operante Produções | Produção: Susanna Lira, Tito Gomes | Fotografia: Rafael Mazza | Montagem: Ítalo Rocha | Música: Tito Gomes | Elenco: Raphael Elias</t>
  </si>
  <si>
    <t>297</t>
  </si>
  <si>
    <t>Nação Ubuntu - A Voz dos Silenciados</t>
  </si>
  <si>
    <t>Migdal Filmes</t>
  </si>
  <si>
    <t>Iafa Britz</t>
  </si>
  <si>
    <t>Julio Cesar Siqueira</t>
  </si>
  <si>
    <t>Juliana Cavalcanti</t>
  </si>
  <si>
    <t>Raphael Guerra</t>
  </si>
  <si>
    <t>Maick Mutej, Prince Kalolo, Felly B. Zihalirwa, Frank Kabamba</t>
  </si>
  <si>
    <t>Criado em 1994 com o objetivo de receber dez mil pessoas, o campo de Dzaleka conta com uma população de 44.000 refugiados São pessoas que fogem de conflitos políticos, religiosos e étnicos de diversos países, majoritariamente da República Democrática do Congo. Vivendo em situação de miséria e vítima de preconceito, os refugiados não têm permissão de sair do campo. Diante desse quadro de abandono, quatro jovens se reuniram para, através do resgate da filosofia Ubuntu, trazer dignidade, trabalho, educação, e acima de tudo, esperança ao povo de Dzaleka.</t>
  </si>
  <si>
    <t>Direção: Paulo Henrique Fontenelle | Roteiro: Paulo Henrique Fontenelle | Produtora: Migdal Filmes | Produção: Iafa Britz | Fotografia: Julio Cesar Siqueira | Montagem: Juliana Cavalcanti | Música: Raphael Guerra | Elenco: Maick Mutej, Prince Kalolo, Felly B. Zihalirwa, Frank Kabamba</t>
  </si>
  <si>
    <t>298</t>
  </si>
  <si>
    <t>Não Estamos Sonhando</t>
  </si>
  <si>
    <t>Ulisses Arthur</t>
  </si>
  <si>
    <t>Céu Vermelho Fogo Filmes</t>
  </si>
  <si>
    <t>Alessandra Moretti, Ulisses Arthur</t>
  </si>
  <si>
    <t>Matheus Farias</t>
  </si>
  <si>
    <t>Pedro Leão, Luciano Pedro Jr., Pedro Walissom, Nívea Maria, Géssyca Geyza</t>
  </si>
  <si>
    <t>Ciro vive uma rotina intensa como estudante de medicina e professor de pole dance para seus amigos, estudantes negros dos cursos da área da saúde. Quando ele precisa sair repentinamente da casa onde vive como hóspede, Ciro encontra abrigo no apartamento de Antônio, o DJ que mora no prédio ao lado.</t>
  </si>
  <si>
    <t>Direção: Ulisses Arthur | Roteiro: Ulisses Arthur | Produtora: Céu Vermelho Fogo Filmes | Produção: Alessandra Moretti, Ulisses Arthur | Fotografia: Dani Correia | Montagem: Matheus Farias | Elenco: Pedro Leão, Luciano Pedro Jr., Pedro Walissom, Nívea Maria, Géssyca Geyza</t>
  </si>
  <si>
    <t>299</t>
  </si>
  <si>
    <t>Ney por Trás das Máscaras</t>
  </si>
  <si>
    <t>Ney por trás das máscaras</t>
  </si>
  <si>
    <t>Esmir Filho, Thais Guisasola (Diretora Convidada)</t>
  </si>
  <si>
    <t>Esmir Filho, Thais Guisasola, João Maia</t>
  </si>
  <si>
    <t>Filmes de Paisagem Ltda</t>
  </si>
  <si>
    <t>Esmir Filho, Rafael Reinoso, Letícia Friedrich, Silvia Cruz</t>
  </si>
  <si>
    <t>Azul Serra, Lula Cerri, Carol Quintanilha, Bruno Polidoro</t>
  </si>
  <si>
    <t>João Maia, Tatiane Vesch</t>
  </si>
  <si>
    <t>João Maia, Amabis</t>
  </si>
  <si>
    <t>Ney Matogrosso</t>
  </si>
  <si>
    <t>Acompanha Ney Matogrosso durante a preparação para o desfile da Imperatriz Leopoldinense, transformando o Carnaval em um espaço de descobertas sobre identidade, liberdade e finitude. Entre ensaios e encontros marcantes, o filme revela um Ney íntimo, que revisita as escolhas que moldaram sua trajetória, propondo uma reflexão sobre as máscaras que usamos ao longo da vida e a coragem necessária para permanecer fiel a quem se é.</t>
  </si>
  <si>
    <t>Direção: Esmir Filho, Thais Guisasola (Diretora Convidada) | Roteiro: Esmir Filho, Thais Guisasola, João Maia | Produtora: Filmes de Paisagem Ltda | Produção: Esmir Filho, Rafael Reinoso, Letícia Friedrich, Silvia Cruz | Fotografia: Azul Serra, Lula Cerri, Carol Quintanilha, Bruno Polidoro | Montagem: João Maia, Tatiane Vesch | Música: João Maia, Amabis | Elenco: Ney Matogrosso</t>
  </si>
  <si>
    <t>300</t>
  </si>
  <si>
    <t>No Passo da Cobra</t>
  </si>
  <si>
    <t>Estêvão Ciavatta Pantoja</t>
  </si>
  <si>
    <t>Macaco Gordo, Pindorama Filmes</t>
  </si>
  <si>
    <t>Dudu Miranda</t>
  </si>
  <si>
    <t>Luana Bazhuni</t>
  </si>
  <si>
    <t>Berna Ceppas</t>
  </si>
  <si>
    <t>Estêvão Ciavatta Pantoja, Regina Casé, Dr. Paulo Niemeyer, Dra. Lúcia Willadino Braga, José Vicente Martins, Pai Celinho de Omulu</t>
  </si>
  <si>
    <t>Documentário autobiográfico que acompanha a jornada do cineasta Estêvão Ciavatta Pantoja em seu processo de regeneração após uma queda de cavalo que o deixou tetraplégico. O filme parte de sua experiência pessoal para investigar como é possível transformar experiências de sofrimento em um processo virtuoso de reconexão com a vida.</t>
  </si>
  <si>
    <t>Direção: Estêvão Ciavatta Pantoja | Roteiro: Estêvão Ciavatta Pantoja | Produtora: Macaco Gordo, Pindorama Filmes | Produção: Estêvão Ciavatta Pantoja | Fotografia: Dudu Miranda | Montagem: Luana Bazhuni | Música: Berna Ceppas | Elenco: Estêvão Ciavatta Pantoja, Regina Casé, Dr. Paulo Niemeyer, Dra. Lúcia Willadino Braga, José Vicente Martins, Pai Celinho de Omulu</t>
  </si>
  <si>
    <t>301</t>
  </si>
  <si>
    <t>O Capitão Engarrafado</t>
  </si>
  <si>
    <t>Capitão Engarrafado, O</t>
  </si>
  <si>
    <t>Guilherme Reis</t>
  </si>
  <si>
    <t>Caio Ducca, Guilherme Reis</t>
  </si>
  <si>
    <t>Postura Digital Filmes</t>
  </si>
  <si>
    <t>Mariana Starling</t>
  </si>
  <si>
    <t>Sarah Cambraia</t>
  </si>
  <si>
    <t>Rafael Nelvam</t>
  </si>
  <si>
    <t>Carlos Daniel, Kelly Crifer, Luis Carlos Vasconcelos, Magdale Alves, Mirna Alves Ribeiro, Robson Vieira, Tui Souza Gil</t>
  </si>
  <si>
    <t>Vanessa é uma mãe solo atormentada por um trauma do passado. Seu filho, Caio, é uma criança criativa que parece estar em fuga da realidade. Um dia, o menino conhece o pequeno capitão de um barco engarrafado que precisa voltar a navegar. Mas a jornada do interior de Minas Gerais até o mar pode ser perigosa.</t>
  </si>
  <si>
    <t>Direção: Guilherme Reis | Roteiro: Caio Ducca, Guilherme Reis | Produtora: Postura Digital Filmes | Produção: Mariana Starling | Fotografia: Sarah Cambraia | Montagem: Guilherme Reis | Música: Rafael Nelvam | Elenco: Carlos Daniel, Kelly Crifer, Luis Carlos Vasconcelos, Magdale Alves, Mirna Alves Ribeiro, Robson Vieira, Tui Souza Gil</t>
  </si>
  <si>
    <t>302</t>
  </si>
  <si>
    <t>O Cinema Possível</t>
  </si>
  <si>
    <t>Cinema Possível, O</t>
  </si>
  <si>
    <t>Luiz Carlos Lacerda</t>
  </si>
  <si>
    <t>Luiz Carlos Lacerda, Eric Wolter</t>
  </si>
  <si>
    <t>Matinê Filmes</t>
  </si>
  <si>
    <t>Matheus Matarangas</t>
  </si>
  <si>
    <t>Eric Wolter</t>
  </si>
  <si>
    <t>Caetano Veloso</t>
  </si>
  <si>
    <t>Cavi Borges, Isis Silveira, Marina Guedes, Alexandre Matera</t>
  </si>
  <si>
    <t>Judoca, cineasta, produtor e agitador cultural, Cavi Borges construiu uma trajetória movida pela mesma energia dentro e fora dos tatames. O documentário acompanha sua passagem do esporte ao cinema e revela como ele se tornou uma figura central da produção independente brasileira, produzindo filmes, criando espaços e conectando realizadores. Entre lutas, sets e festivais internacionais, emerge o retrato de alguém que transforma limitações em impulso para tornar possível outro modo de fazer cinema.</t>
  </si>
  <si>
    <t>Direção: Luiz Carlos Lacerda | Roteiro: Luiz Carlos Lacerda, Eric Wolter | Produtora: Matinê Filmes | Produção: Luiz Carlos Lacerda | Fotografia: Matheus Matarangas | Montagem: Eric Wolter | Música: Caetano Veloso | Elenco: Cavi Borges, Isis Silveira, Marina Guedes, Alexandre Matera</t>
  </si>
  <si>
    <t>303</t>
  </si>
  <si>
    <t>O Deserto de Luiza</t>
  </si>
  <si>
    <t>Deserto de Luiza, O</t>
  </si>
  <si>
    <t>Brasil, Reino Unido</t>
  </si>
  <si>
    <t>Alan Minas</t>
  </si>
  <si>
    <t>Caraminhola Filmes</t>
  </si>
  <si>
    <t>Daniela Vitorino</t>
  </si>
  <si>
    <t>Bernardo Ritcher</t>
  </si>
  <si>
    <t>Alexandre Taira</t>
  </si>
  <si>
    <t>Clower Curtis</t>
  </si>
  <si>
    <t>Nina Prado, Daniela Fontan, André Luiz Miranda, Thelmo Fernandes, Veronica Debom</t>
  </si>
  <si>
    <t>Luíza é uma carioca tímida de 15 anos, que adora desenhar e é chamada para participar do grupo de graffiti da escola. O seu talento desperta a atenção de Tomaz e apaixonam-se. Em meio aos conflitos da adolescência, a mãe tem um surto psicótico que desestrutura a família. O pai se torna ausente e a irmã caçula vai morar com a tia. À Luiza resta o papel de ser mãe da própria mãe. Na tentativa de reconstruir a família, Luiza enfrenta medo, solidão, preconceito, e encontra o seu modo de ser feliz. Estreia mundial no 28º Festival de Cinema de Xangai 2026.</t>
  </si>
  <si>
    <t>Direção: Alan Minas | Roteiro: Alan Minas | Produtora: Caraminhola Filmes | Produção: Daniela Vitorino | Fotografia: Bernardo Ritcher | Montagem: Alexandre Taira | Música: Clower Curtis | Elenco: Nina Prado, Daniela Fontan, André Luiz Miranda, Thelmo Fernandes, Veronica Debom</t>
  </si>
  <si>
    <t>304</t>
  </si>
  <si>
    <t>O Filho da Puta</t>
  </si>
  <si>
    <t>Filho da Puta, O</t>
  </si>
  <si>
    <t>Erica Maradona, Tania Anaya, Otto Guerra, Sávio Leite</t>
  </si>
  <si>
    <t>Carla Guimarães</t>
  </si>
  <si>
    <t>Otto Desenhos Animados</t>
  </si>
  <si>
    <t>Cissa Carvalho, Victória Kaminski</t>
  </si>
  <si>
    <t>Marco Arruda</t>
  </si>
  <si>
    <t>João Omar</t>
  </si>
  <si>
    <t>Gabriel Martins, Matheus Nachtergaele, Zora Santos, Inês Peixoto, Eduardo Moreira, Teuda Bara, Raquel Pedras</t>
  </si>
  <si>
    <t>Nas entranhas de Minas Gerais funciona a Casa Rosa, famoso prostíbulo gerenciado pela mãe de Ismael, conhecido por todos como O Filho da Puta. No intuito de encontrar o pai que nunca conheceu, ele parte de sua pequena cidade na companhia de seu cachorro, Bacalhau. No decorrer do caminho, o jovem se vê diante de situações que insistem em trazê-lo para a realidade da qual ele foge.</t>
  </si>
  <si>
    <t>Direção: Erica Maradona, Tania Anaya, Otto Guerra, Sávio Leite | Roteiro: Carla Guimarães | Produtora: Otto Desenhos Animados | Produção: Cissa Carvalho, Victória Kaminski | Fotografia: Marco Arruda | Montagem: Marco Arruda | Música: João Omar | Elenco: Gabriel Martins, Matheus Nachtergaele, Zora Santos, Inês Peixoto, Eduardo Moreira, Teuda Bara, Raquel Pedras</t>
  </si>
  <si>
    <t>305</t>
  </si>
  <si>
    <t>O Gesto Entre Nós</t>
  </si>
  <si>
    <t>Gesto Entre Nós, O</t>
  </si>
  <si>
    <t>Roberto Bomtempo</t>
  </si>
  <si>
    <t>Zeca Ferreira, Roberto Bomtempo, Pedro Vinícius</t>
  </si>
  <si>
    <t>Matizar Filmes, Canal Curta</t>
  </si>
  <si>
    <t>Mariana Ferraz, Alexandra Maia, Guilherme Coelho</t>
  </si>
  <si>
    <t>Andrea Capella</t>
  </si>
  <si>
    <t>Pedro Vinícius</t>
  </si>
  <si>
    <t>Marco de Vita, Stanley Wagner</t>
  </si>
  <si>
    <t>André Curti, Artur Luanda Ribeiro</t>
  </si>
  <si>
    <t>Desde a criação da companhia de teatro gestual Dos à Deux, Artur e André fazem da câmera uma companheira, registrando suas vidas, seus deslocamentos pelo mundo e seus processos criativos. Ao longo de 28 anos de ensaios e turnês, o premiado casal de artistas construiu um acervo íntimo em que arte e amor se entrelaçam dentro e fora do palco. É desse material singular que nasce o documentário.</t>
  </si>
  <si>
    <t>Direção: Roberto Bomtempo | Roteiro: Zeca Ferreira, Roberto Bomtempo, Pedro Vinícius | Produtora: Matizar Filmes, Canal Curta | Produção: Mariana Ferraz, Alexandra Maia, Guilherme Coelho | Fotografia: Andrea Capella | Montagem: Pedro Vinícius | Música: Marco de Vita, Stanley Wagner | Elenco: André Curti, Artur Luanda Ribeiro</t>
  </si>
  <si>
    <t>306</t>
  </si>
  <si>
    <t>https://letterboxd.com/film/o-sertao-das-nossas-memorias/</t>
  </si>
  <si>
    <t>O sertão das nossas memórias</t>
  </si>
  <si>
    <t>Sertão das nossas memórias, O</t>
  </si>
  <si>
    <t>Lucia Murat</t>
  </si>
  <si>
    <t>Taiga Filmes</t>
  </si>
  <si>
    <t>Julia Murat, Lucia Murat</t>
  </si>
  <si>
    <t>Mair Tavares, Marih Oliveira</t>
  </si>
  <si>
    <t>Zé Paulo Becker</t>
  </si>
  <si>
    <t>Road movie que viaja do Rio de Janeiro ao sertão da Bahia. Com a ajuda de três sobreviventes, a produção revisita um massacre de 1971, ocorrido sob a ditadura militar. O ataque tirou a vida do capitão Carlos Lamarca — inimigo público número um do regime — e de José Campos Barreto (Zequinha), líder comunitário e ex-dirigente de uma das raras greves operárias após o golpe militar. Após anos de medo e esquecimento, as cidades da tragédia hoje homenageiam ambos os homens.</t>
  </si>
  <si>
    <t>Direção: Lucia Murat | Roteiro: Lucia Murat | Produtora: Taiga Filmes | Produção: Julia Murat, Lucia Murat | Fotografia: Dudu Miranda | Montagem: Mair Tavares, Marih Oliveira | Música: Zé Paulo Becker</t>
  </si>
  <si>
    <t>307</t>
  </si>
  <si>
    <t>https://letterboxd.com/film/o-tempo-e-o-lugar/</t>
  </si>
  <si>
    <t>O Tempo e o Lugar</t>
  </si>
  <si>
    <t>Tempo e o Lugar, O</t>
  </si>
  <si>
    <t>2008</t>
  </si>
  <si>
    <t>Eduardo Escorel</t>
  </si>
  <si>
    <t>Cinefilmes</t>
  </si>
  <si>
    <t>Ricardo Stein</t>
  </si>
  <si>
    <t>Trajetória militante de Genivaldo, agricultor familiar da região semi-árida de Alagoas. Membro leigo da Igreja Católica, emigrou sem ter se adaptado à condição de peão de obra. Voltou para sua cidade natal, convicto que ali é o seu lugar. Atuou no Movimento Sem Terra, participando de ocupações de terra. Foi candidato derrotado a prefeito de Inhapi pelo PT. Criou uma organização dedicada ao fortalecimento da agricultura familiar, fiel à sua vocação de ativista político, hoje independente, distante de igrejas, movimentos e partidos.</t>
  </si>
  <si>
    <t>Direção: Eduardo Escorel | Roteiro: Eduardo Escorel | Produtora: Cinefilmes | Produção: Cinefilmes | Fotografia: Ricardo Stein | Montagem: Jordana Berg</t>
  </si>
  <si>
    <t>308</t>
  </si>
  <si>
    <t>Oceânico</t>
  </si>
  <si>
    <t>Guilherme Coelho</t>
  </si>
  <si>
    <t>Guilherme Coelho, Josefina Trotta, Marcelo Gomes, Mariana Jaspe, Michel Laub, Vinícius Spanghero</t>
  </si>
  <si>
    <t>Matizar Filmes</t>
  </si>
  <si>
    <t>Mariana Ferraz, Tatiana Leite, Karim Aïnouz, Guilherme Coelho</t>
  </si>
  <si>
    <t>Flora Dias</t>
  </si>
  <si>
    <t>Marcia Watzl, Guilherme Coelho, Waldir Xavier</t>
  </si>
  <si>
    <t>Arpx</t>
  </si>
  <si>
    <t>Ana Carbatti, Caio Cabral</t>
  </si>
  <si>
    <t>Adyr é uma brilhante cientista que, após perder o marido para o alcoolismo, descobre na medicina psicodélica a chave para a cura dessa doença. Quando ela se torna alvo de um grupo interessado em se apropriar de seu trabalho, sente-se ameaçada e sem saber em quem confiar. Agora, precisará lutar para proteger sua pesquisa, sua vida e a de seu filho, Tom.</t>
  </si>
  <si>
    <t>Direção: Guilherme Coelho | Roteiro: Guilherme Coelho, Josefina Trotta, Marcelo Gomes, Mariana Jaspe, Michel Laub, Vinícius Spanghero | Produtora: Matizar Filmes | Produção: Mariana Ferraz, Tatiana Leite, Karim Aïnouz, Guilherme Coelho | Fotografia: Flora Dias | Montagem: Marcia Watzl, Guilherme Coelho, Waldir Xavier | Música: Arpx | Elenco: Ana Carbatti, Caio Cabral</t>
  </si>
  <si>
    <t>309</t>
  </si>
  <si>
    <t>Ondas de Silêncio</t>
  </si>
  <si>
    <t>Caio J. Bonfim</t>
  </si>
  <si>
    <t>Caio J. Bonfim, Marcos Alexandre</t>
  </si>
  <si>
    <t>C-Bonfim Filmes</t>
  </si>
  <si>
    <t>Keyti Souza, Joseph A. Adesunloye, Oreka Godis, Matilda Adesunloye</t>
  </si>
  <si>
    <t>Callum Begley</t>
  </si>
  <si>
    <t>Simona Sturniolo</t>
  </si>
  <si>
    <t>Davisson Melo da Silva, Mariana Evangelista da Silva</t>
  </si>
  <si>
    <t>Entre ajudar a mãe a administrar o hotel e cuidar dos seus pássaros, Amon, que é surdo, sente uma ligação imediata com o novo entregador de água, Roberto, enquanto sua melhor amiga, Daniella, se apaixona por ele.</t>
  </si>
  <si>
    <t>Direção: Caio J. Bonfim | Roteiro: Caio J. Bonfim, Marcos Alexandre | Produtora: C-Bonfim Filmes | Produção: Keyti Souza, Joseph A. Adesunloye, Oreka Godis, Matilda Adesunloye | Fotografia: Callum Begley | Montagem: Simona Sturniolo | Elenco: Davisson Melo da Silva, Mariana Evangelista da Silva</t>
  </si>
  <si>
    <t>310</t>
  </si>
  <si>
    <t>Os Beatos</t>
  </si>
  <si>
    <t>Beatos, Os</t>
  </si>
  <si>
    <t>Valentin Lebeau</t>
  </si>
  <si>
    <t>Tact Production</t>
  </si>
  <si>
    <t>Oualid Baha</t>
  </si>
  <si>
    <t>Ana Galizia</t>
  </si>
  <si>
    <t>Benoit Delbove</t>
  </si>
  <si>
    <t>João Paulo dos Santos Silva, Isadora Vieira, Juliana Vieira</t>
  </si>
  <si>
    <t>Região dos Lagos, sudeste do Brasil. João está desempregado desde que o restaurante onde trabalhava fechou as portas. Morando sozinho com o pai, ele tenta se dedicar às suas funções como jovem pastor na comunidade evangélica local.</t>
  </si>
  <si>
    <t>Direção: Valentin Lebeau | Roteiro: Valentin Lebeau | Produtora: Tact Production | Produção: Oualid Baha | Fotografia: Ana Galizia | Montagem: Benoit Delbove | Elenco: João Paulo dos Santos Silva, Isadora Vieira, Juliana Vieira</t>
  </si>
  <si>
    <t>311</t>
  </si>
  <si>
    <t>https://letterboxd.com/film/overman/</t>
  </si>
  <si>
    <t>Overman</t>
  </si>
  <si>
    <t>Tomás Portella</t>
  </si>
  <si>
    <t>Arnaldo Branco, Leandro Soares, Tomás Portella</t>
  </si>
  <si>
    <t>André Modugno</t>
  </si>
  <si>
    <t>Marcelo Moraes, Edt, Danilo Lemos, Amc</t>
  </si>
  <si>
    <t>Caco Ciocler, Karina Ramil, Maria Lucas, Otávio Muller, Victor Lamoglia</t>
  </si>
  <si>
    <t>Criado pela cartunista Laerte, Overman é um herói brasileiro enfrentando problemas mais brasileiros ainda. Desempregado, vive escondido em uma pensão, afundado em excessos e em uma crise existencial. Quando o governador lhe oferece um emprego na Secretaria de Segurança Pública, vê a chance de voltar a ser reconhecido como herói. Ao lado de Pâmela, a mulher-cachorro, volta à ativa para impedir que a cidade mergulhe no caos. Mas logo descobre que seu verdadeiro inimigo está muito mais perto do que imaginava.</t>
  </si>
  <si>
    <t>Direção: Tomás Portella | Roteiro: Arnaldo Branco, Leandro Soares, Tomás Portella | Produtora: Migdal Filmes | Produção: Iafa Britz | Fotografia: André Modugno | Montagem: Marcelo Moraes, Edt, Danilo Lemos, Amc | Música: Berna Ceppas | Elenco: Caco Ciocler, Karina Ramil, Maria Lucas, Otávio Muller, Victor Lamoglia</t>
  </si>
  <si>
    <t>312</t>
  </si>
  <si>
    <t>Pai de Primeira Viagem</t>
  </si>
  <si>
    <t>Mariana Youssef</t>
  </si>
  <si>
    <t>Filipe Serra, Felipe Braga</t>
  </si>
  <si>
    <t>Lb Entertainment</t>
  </si>
  <si>
    <t>Felipe Braga, Rita Moraes, Douglas Domingues, Tomás Darcyl, Ricardo Costianovsky, Clara Ramos</t>
  </si>
  <si>
    <t>Lito Mendes da Rocha, ABC</t>
  </si>
  <si>
    <t>Ricardo Gonçalves, Amc</t>
  </si>
  <si>
    <t>Tejo Damasceno</t>
  </si>
  <si>
    <t>Murilo Benício, Kevin Vecchiato, Leandra Leal, Clarice Abujamra</t>
  </si>
  <si>
    <t>Um comediante fora de forma e seu filho de 17 anos partem em uma viagem de última hora. Incapazes de se entender, esses dois modelos opostos de masculinidade colidem em um carro apertado. Entre conflitos e emoções, eles descobrem que precisam ver o mundo pela perspectiva um do outro para finalmente se entenderem.</t>
  </si>
  <si>
    <t>Direção: Mariana Youssef | Roteiro: Filipe Serra, Felipe Braga | Produtora: Lb Entertainment | Produção: Felipe Braga, Rita Moraes, Douglas Domingues, Tomás Darcyl, Ricardo Costianovsky, Clara Ramos | Fotografia: Lito Mendes da Rocha, ABC | Montagem: Ricardo Gonçalves, Amc | Música: Tejo Damasceno | Elenco: Murilo Benício, Kevin Vecchiato, Leandra Leal, Clarice Abujamra</t>
  </si>
  <si>
    <t>313</t>
  </si>
  <si>
    <t>Panorama de Curtas Cariocas</t>
  </si>
  <si>
    <t>Mostra de Curtas-Metragens. A programação do documento registra 66 min.</t>
  </si>
  <si>
    <t>Vários diretores</t>
  </si>
  <si>
    <t>Sessão especial composta por curtas-metragens ambientados no Rio de Janeiro, incluindo obras restauradas em Super 8 dos anos 1970 e produções contemporâneas de ficção e documentário, revelando olhares diversos sobre a cidade.</t>
  </si>
  <si>
    <t>Direção: Vários diretores | Gênero: Mostra de Curtas-Metragens. A programação do documento registra 66 min.</t>
  </si>
  <si>
    <t>314</t>
  </si>
  <si>
    <t>Paraíso Semiárido</t>
  </si>
  <si>
    <t>Videofilmes</t>
  </si>
  <si>
    <t>Eduardo Escorel, Laís Lifschitz</t>
  </si>
  <si>
    <t>Genivaldo Vieira da Silva, Maria da Conceição Moreira Silva (Dona Lia)</t>
  </si>
  <si>
    <t>Em 2007, nas gravações do documentário , Genivaldo Vieira da Silva, o Geno, ex-militante da Pastoral da Terra, do MST e do PT, declarou ter intenção de se mudar em três anos de Inhapi (AL), onde sempre morou, para sua propriedade em Santa Brígida (BA) que ele definia como sendo seu “paraíso”. Passados 17 anos, Genivaldo não havia se refugiado em sua terra prometida. O documentário procura entender por quê, e investiga, além disso, a face espiritual de Geno e as razões de suas novas opções políticas.</t>
  </si>
  <si>
    <t>Direção: Eduardo Escorel | Roteiro: Eduardo Escorel | Produtora: Videofilmes | Produção: Videofilmes | Fotografia: João Atala | Montagem: Eduardo Escorel, Laís Lifschitz | Elenco: Genivaldo Vieira da Silva, Maria da Conceição Moreira Silva (Dona Lia)</t>
  </si>
  <si>
    <t>315</t>
  </si>
  <si>
    <t>Pardo é Papel</t>
  </si>
  <si>
    <t>Alexis Zelensky</t>
  </si>
  <si>
    <t>Az Produção, Duplacena, Quilombo Films</t>
  </si>
  <si>
    <t>Antônio Câmara Manuel, Baptiste Lacroix, Luana Viera Gonçalves</t>
  </si>
  <si>
    <t>Quentin Delaroche, Alexis Zelensky</t>
  </si>
  <si>
    <t>Gil Gregório, Djonga, Bk', Coyote, El Lif Beatz, Jxnv$</t>
  </si>
  <si>
    <t>Carlos Renato, Daniel Nicolaevsky, Djonga, Emma Lavigne, Frank Lucas, Goia Freire, Hugo Vitrani, Isadhora Müller, Laís, Magda Gomes, Michel Moreira da Silva, Philippe Einstein e Silva Lazario, Raíssa Freire</t>
  </si>
  <si>
    <t>Nascido e criado na Rocinha, Maxwell Alexandre irrompeu no circuito da arte contemporânea aos 28 anos, e suas pinturas passaram a alcançar cifras exorbitantes. Enquanto acompanha seu processo incansável de criação e a preparação de uma exposição no Palais de Tokyo, em Paris, o documentário investiga a ferida por trás do sucesso. Ao ocupar um dos espaços mais elitizados do mundo da arte, ele confronta um sistema estruturalmente racista e as contradições de integrar a instituição que sua obra questiona.</t>
  </si>
  <si>
    <t>Direção: Alexis Zelensky | Produtora: Az Produção, Duplacena, Quilombo Films | Produção: Antônio Câmara Manuel, Baptiste Lacroix, Luana Viera Gonçalves | Fotografia: Alexis Zelensky | Montagem: Quentin Delaroche, Alexis Zelensky | Música: Gil Gregório, Djonga, Bk', Coyote, El Lif Beatz, Jxnv$ | Elenco: Carlos Renato, Daniel Nicolaevsky, Djonga, Emma Lavigne, Frank Lucas, Goia Freire, Hugo Vitrani, Isadhora Müller, Laís, Magda Gomes, Michel Moreira da Silva, Philippe Einstein e Silva Lazario, Raíssa Freire</t>
  </si>
  <si>
    <t>316</t>
  </si>
  <si>
    <t>https://letterboxd.com/film/pedra-mar/</t>
  </si>
  <si>
    <t>Pedra-Mar</t>
  </si>
  <si>
    <t>Janaína Lacerda</t>
  </si>
  <si>
    <t>Peregrina Filmes</t>
  </si>
  <si>
    <t>Juliana Crelier</t>
  </si>
  <si>
    <t>Breno César</t>
  </si>
  <si>
    <t>Pedro Queiroz</t>
  </si>
  <si>
    <t>Victor Ramalho</t>
  </si>
  <si>
    <t>Ana Marinho, Aurora Jamelo, Zezita Matos</t>
  </si>
  <si>
    <t>Cada ser tem sonhos à sua maneira. Vencedor dos prêmios de Melhor Filme e Melhor Atuação na Mostra Competitiva Internacional do Festival Internacional de Cinema da Fronteira.</t>
  </si>
  <si>
    <t>Direção: Janaína Lacerda | Roteiro: Janaína Lacerda | Produtora: Peregrina Filmes | Produção: Juliana Crelier | Fotografia: Breno César | Montagem: Pedro Queiroz | Música: Victor Ramalho | Elenco: Ana Marinho, Aurora Jamelo, Zezita Matos</t>
  </si>
  <si>
    <t>317</t>
  </si>
  <si>
    <t>https://letterboxd.com/film/pique-pega/</t>
  </si>
  <si>
    <t>Pique-pega</t>
  </si>
  <si>
    <t>Mia Lima Rocha</t>
  </si>
  <si>
    <t>Bubbles Project Produção/productionpedro Freire, Tatiana Leite, Mia Lima Rocha</t>
  </si>
  <si>
    <t>Felipe Ovelha</t>
  </si>
  <si>
    <t>Pedro Freire, Mia Lima Rocha</t>
  </si>
  <si>
    <t>Felipe Rocha</t>
  </si>
  <si>
    <t>Carol Duarte, Malu Galli</t>
  </si>
  <si>
    <t>Em uma festa, Ana, 30, encontra Dida, 60, alguém de seu passado. O desejo de Ana de falar sobre "o que aconteceu" esbarra na recusa de Dida, intensificando o conflito entre elas até sair do controle. Exibido no Festival de Gramado 2026.</t>
  </si>
  <si>
    <t>Direção: Mia Lima Rocha | Roteiro: Mia Lima Rocha | Produtora: Bubbles Project Produção/productionpedro Freire, Tatiana Leite, Mia Lima Rocha | Fotografia: Felipe Ovelha | Montagem: Pedro Freire, Mia Lima Rocha | Música: Felipe Rocha | Elenco: Carol Duarte, Malu Galli</t>
  </si>
  <si>
    <t>318</t>
  </si>
  <si>
    <t>Pitico - Hermes Ayres Azevedo (1881-1959) - Historiador da província</t>
  </si>
  <si>
    <t>Julio Bressane</t>
  </si>
  <si>
    <t>Julio Bressane, Rosa Dias</t>
  </si>
  <si>
    <t>Tb Produções</t>
  </si>
  <si>
    <t>Rosa Dias, Tande Bressane, Noa Bressane, Bruno Safadi, Julio Bressane</t>
  </si>
  <si>
    <t>Pablo Baião</t>
  </si>
  <si>
    <t>Rodrigo Lima</t>
  </si>
  <si>
    <t>Paulo Betti, Josie Antello, Cláudio Mendes, Divina Malandra</t>
  </si>
  <si>
    <t>Pitico apelido familiar de Hermes Ayres Azevedo (1881-1959) historiador apaixonado por sua pequena cidade do interior. Leitor de cartas e documentos do passado de sua província colhe na escritura a mão a emoção, o sentimento, a cultura, as forças obscuras e trágicas, o sentir dos que haviam gravado. Pitico lê, estuda, decifra e estuda atento as configurações particulares do movediço, ao ritmo do tempo passado naquele lugarejo.</t>
  </si>
  <si>
    <t>Direção: Julio Bressane | Roteiro: Julio Bressane, Rosa Dias | Produtora: Tb Produções | Produção: Rosa Dias, Tande Bressane, Noa Bressane, Bruno Safadi, Julio Bressane | Fotografia: Pablo Baião | Montagem: Rodrigo Lima | Música: Julio Bressane | Elenco: Paulo Betti, Josie Antello, Cláudio Mendes, Divina Malandra</t>
  </si>
  <si>
    <t>319</t>
  </si>
  <si>
    <t>Pontos de Partida</t>
  </si>
  <si>
    <t>Silvio Tendler</t>
  </si>
  <si>
    <t>Silvio Tendler, Renata Villas Boas, Cláudio Kahns</t>
  </si>
  <si>
    <t>Tatu Filmes</t>
  </si>
  <si>
    <t>Cláudio Kahns</t>
  </si>
  <si>
    <t>Lúcio Kodato</t>
  </si>
  <si>
    <t>Célia Freitas</t>
  </si>
  <si>
    <t>Arrigo Barnabé</t>
  </si>
  <si>
    <t>Em 2004, a política pública nacional de cultura se tornou o maior programa de diversidade cultural do mundo, alcançando 3.500 Pontos de Cultura no Brasil. Essa experiência é retratada neste último filme de Sílvio Tendler, que foca principalmente nas periferias de São Paulo.</t>
  </si>
  <si>
    <t>Direção: Silvio Tendler | Roteiro: Silvio Tendler, Renata Villas Boas, Cláudio Kahns | Produtora: Tatu Filmes | Produção: Cláudio Kahns | Fotografia: Lúcio Kodato | Montagem: Célia Freitas | Música: Arrigo Barnabé</t>
  </si>
  <si>
    <t>320</t>
  </si>
  <si>
    <t>Por Que Não?</t>
  </si>
  <si>
    <t>Maria Prata</t>
  </si>
  <si>
    <t>Bravura Cinematográfica</t>
  </si>
  <si>
    <t>Fabio Zavala, Hugo Prata, Maria Prata</t>
  </si>
  <si>
    <t>Renata Terra, Gustavo Vasconcelos</t>
  </si>
  <si>
    <t>Cezar Brandão, Otavio de Moraes</t>
  </si>
  <si>
    <t>Ana Fontes, Fernando Meirelles, Ilona Szabó, Loli (Laura Góes), Luiza Trajano, Natalie Unterstell, Peter Houlihan, Peter Senge, Ronaldo Lemos, Shiv Khemka</t>
  </si>
  <si>
    <t>A partir da relação de Maria Prata com Laura Góes, sua avó, o documentário investiga o porquê de tanta gente preferir não lidar com questões ligadas à crise climática – mesmo com toda a informação existente e diante de tragédias globais recorrentes. O filme intercala passeios das duas pelo jardim centenário que a matriarca da família plantou na serra Fluminense, com depoimentos de personalidades que, de alguma forma, têm entrado nessa conversa.</t>
  </si>
  <si>
    <t>Direção: Maria Prata | Roteiro: Maria Prata | Produtora: Bravura Cinematográfica | Produção: Fabio Zavala, Hugo Prata, Maria Prata | Montagem: Renata Terra, Gustavo Vasconcelos | Música: Cezar Brandão, Otavio de Moraes | Elenco: Ana Fontes, Fernando Meirelles, Ilona Szabó, Loli (Laura Góes), Luiza Trajano, Natalie Unterstell, Peter Houlihan, Peter Senge, Ronaldo Lemos, Shiv Khemka</t>
  </si>
  <si>
    <t>321</t>
  </si>
  <si>
    <t>https://letterboxd.com/film/privadas-de-suas-vidas/</t>
  </si>
  <si>
    <t>Privadas de Suas Vidas</t>
  </si>
  <si>
    <t>Gustavo Vinagre, Gurcius Gewdner</t>
  </si>
  <si>
    <t>Rt Features</t>
  </si>
  <si>
    <t>Rodrigo Teixeira, Berta Marchiori, Tereza Alvarez</t>
  </si>
  <si>
    <t>Daniel Venosa</t>
  </si>
  <si>
    <t>Rodrigo Carneiro</t>
  </si>
  <si>
    <t>Martha Nowill, Otávio Muller, Regina Braga, Chandelly Braz, Marco Pigossi, Olivia Torres, Benjamín, Fabio Marx</t>
  </si>
  <si>
    <t>À beira de um colapso por um trauma antigo e ume filhe rebelde, Malu vê sua rotina ruir quando uma estranha maldição transforma privadas em criaturas assassinas. Sugada para um pesadelo surreal, ela descobre que maternidade, luto e terror existencial não podem simplesmente desaparecer com uma descarga.</t>
  </si>
  <si>
    <t>Direção: Gustavo Vinagre, Gurcius Gewdner | Roteiro: Gustavo Vinagre, Gurcius Gewdner | Produtora: Rt Features | Produção: Rodrigo Teixeira, Berta Marchiori, Tereza Alvarez | Fotografia: Daniel Venosa | Montagem: Rodrigo Carneiro | Música: Arthur Joly | Elenco: Martha Nowill, Otávio Muller, Regina Braga, Chandelly Braz, Marco Pigossi, Olivia Torres, Benjamín, Fabio Marx</t>
  </si>
  <si>
    <t>322</t>
  </si>
  <si>
    <t>https://letterboxd.com/film/retete/</t>
  </si>
  <si>
    <t>Reteté</t>
  </si>
  <si>
    <t>Donna Oliveira</t>
  </si>
  <si>
    <t>Pique- Bandeira Filmes</t>
  </si>
  <si>
    <t>Vitor Graize, Maria Grijó Simonetti</t>
  </si>
  <si>
    <t>Hellen Braga, ABC</t>
  </si>
  <si>
    <t>Victor Fur- Tado</t>
  </si>
  <si>
    <t>Ingo André (Submarino Fantástico)</t>
  </si>
  <si>
    <t>Bárbara Colen, Elisa Navarro Bertelli</t>
  </si>
  <si>
    <t>Anos 90. Uma menina radiante e indomável é medicada até se tornar a criança comportada que a igreja exige. Para recuperar a filha que conhecia, sua mãe terá de enfrentar sua congregação, sua família e até Deus.</t>
  </si>
  <si>
    <t>Direção: Donna Oliveira | Roteiro: Donna Oliveira | Produtora: Pique- Bandeira Filmes | Produção: Vitor Graize, Maria Grijó Simonetti | Fotografia: Hellen Braga, ABC | Montagem: Victor Fur- Tado | Música: Ingo André (Submarino Fantástico) | Elenco: Bárbara Colen, Elisa Navarro Bertelli</t>
  </si>
  <si>
    <t>323</t>
  </si>
  <si>
    <t>Revelação</t>
  </si>
  <si>
    <t>Gabriela I. Gaia</t>
  </si>
  <si>
    <t>Gabriela I. Gaia, Maíra Athayde, Lorre Motta</t>
  </si>
  <si>
    <t>Por Extenso Produções</t>
  </si>
  <si>
    <t>Gabriela I. Gaia, Pê Moreira</t>
  </si>
  <si>
    <t>Camilla Lapa</t>
  </si>
  <si>
    <t>Téia Porto, Alice Furtado</t>
  </si>
  <si>
    <t>Cris Ariel</t>
  </si>
  <si>
    <t>Lorre Motta, Stella Rabello, Natália Balbino</t>
  </si>
  <si>
    <t>Uma equipe de filmagem é contratada para registrar o caótico primeiro dia de trabalho de um jovem nãobinário numa casa de festas especializada em revelar se o bebê é menino ou menina.</t>
  </si>
  <si>
    <t>Direção: Gabriela I. Gaia | Roteiro: Gabriela I. Gaia, Maíra Athayde, Lorre Motta | Produtora: Por Extenso Produções | Produção: Gabriela I. Gaia, Pê Moreira | Fotografia: Camilla Lapa | Montagem: Téia Porto, Alice Furtado | Música: Cris Ariel | Elenco: Lorre Motta, Stella Rabello, Natália Balbino</t>
  </si>
  <si>
    <t>324</t>
  </si>
  <si>
    <t>Santo</t>
  </si>
  <si>
    <t>Maria Luísa Alves</t>
  </si>
  <si>
    <t>Ufo</t>
  </si>
  <si>
    <t>João Avino</t>
  </si>
  <si>
    <t>João Pedro Mariano, Pedro Tófani</t>
  </si>
  <si>
    <t>Um acidente de trânsito aproxima dois jovens entregadores em São Paulo. Yuri, descolado e provocativo, e Davi, um evangélico trabalhador, se costuram entre os extremos da religião e da liberdade que a rua traz.</t>
  </si>
  <si>
    <t>Direção: Maria Luísa Alves | Roteiro: Maria Luísa Alves | Produtora: Ufo | Fotografia: Victor Alencar | Montagem: Maria Luísa Alves | Música: João Avino | Elenco: João Pedro Mariano, Pedro Tófani</t>
  </si>
  <si>
    <t>325</t>
  </si>
  <si>
    <t>Se Eu Fosse Você 3</t>
  </si>
  <si>
    <t>Anita Barbosa</t>
  </si>
  <si>
    <t>Leandro Soares</t>
  </si>
  <si>
    <t>Total International</t>
  </si>
  <si>
    <t>Marcos Didonet, Vilma Lustosa, Walkiria Barbosa</t>
  </si>
  <si>
    <t>Pedro Iorio</t>
  </si>
  <si>
    <t>Guto Graça Melo</t>
  </si>
  <si>
    <t>Gloria Pires, Tony Ramos, Cleo Pires, Rafael Infante, Paulo Rocha, Rosi Campos, Valentina Daniel, Dan Ferreira</t>
  </si>
  <si>
    <t>Duas décadas após a última troca de corpos, Cláudio e Helena vivem uma nova fase ao lado da filha Bia, agora adulta e casada. Tudo parece em equilíbrio até que um acontecimento inesperado abala a dinâmica familiar e põe suas relações à prova. Quando o raio parece cair outra vez no mesmo lugar, todos precisam enfrentar um novo desafio: aprender a se colocar no lugar do outro — talvez de maneira bem literal.</t>
  </si>
  <si>
    <t>Direção: Anita Barbosa | Roteiro: Leandro Soares | Produtora: Total International | Produção: Marcos Didonet, Vilma Lustosa, Walkiria Barbosa | Fotografia: Pedro Iorio | Montagem: Juliana Cavalcanti | Música: Guto Graça Melo | Elenco: Gloria Pires, Tony Ramos, Cleo Pires, Rafael Infante, Paulo Rocha, Rosi Campos, Valentina Daniel, Dan Ferreira</t>
  </si>
  <si>
    <t>326</t>
  </si>
  <si>
    <t>Sedução</t>
  </si>
  <si>
    <t>Zelito Viana, Marcos Palmeira</t>
  </si>
  <si>
    <t>Zelito Viana, Rodrigo Vasconcelos</t>
  </si>
  <si>
    <t>Mapa Filmes do Brasil</t>
  </si>
  <si>
    <t>Reynaldo Zangrandi</t>
  </si>
  <si>
    <t>Henrique Tartarotti</t>
  </si>
  <si>
    <t>Paulo Francisco</t>
  </si>
  <si>
    <t>Marcos Palmeira, Dira Paes, Camila Morgado, Mel Muzillo, Begê Muniz</t>
  </si>
  <si>
    <t>Paulo Martins, ator de novelas no auge da carreira, acredita ter conquistado tudo o que sempre desejou: fama, reconhecimento e dinheiro. Durante uma gravação, recebe a notícia da morte do pai, que não via há 30 anos. O acontecimento o obriga a retornar à floresta Amazônica, às margens do rio Tapajós, onde mergulha em uma travessia íntima entre lembranças, reencontros e feridas antigas que podem transformar para sempre sua relação com o passado.</t>
  </si>
  <si>
    <t>Direção: Zelito Viana, Marcos Palmeira | Roteiro: Zelito Viana, Rodrigo Vasconcelos | Produtora: Mapa Filmes do Brasil | Fotografia: Reynaldo Zangrandi | Montagem: Henrique Tartarotti | Música: Paulo Francisco | Elenco: Marcos Palmeira, Dira Paes, Camila Morgado, Mel Muzillo, Begê Muniz</t>
  </si>
  <si>
    <t>327</t>
  </si>
  <si>
    <t>Squel – Confissões de uma porta-bandeira</t>
  </si>
  <si>
    <t>Celina Torrealba, Zeca Brito</t>
  </si>
  <si>
    <t>Donna Produções Ltda</t>
  </si>
  <si>
    <t>Donna Features</t>
  </si>
  <si>
    <t>Celina Torrealba, Zeca Brito, Érica Rocha</t>
  </si>
  <si>
    <t>Jardel Machado Hermes</t>
  </si>
  <si>
    <t>Fernando Aranha, Guga Bruno</t>
  </si>
  <si>
    <t>Squel Jorgea, Marluce Medeiros, Marlon Lamar</t>
  </si>
  <si>
    <t>Após se aposentar em 2022, Squel Jorgea decide voltar ao Carnaval do Rio. Porta- -bandeira por mais de vinte anos, começou na Grande Rio, onde dançou por onze anos, e foi a primeira a representar Mangueira e Portela, as duas escolas mais tradicionais. Após a maternidade solo, reencontra o corpo, o gesto e a força que a tornaram referência e dança o enredo baseado no livro Um Defeito de Cor a carta de um filho à mãe escravizada que ressoa em sua trajetória. Entre o silêncio e o tambor, sua dança se transforma em rito, resistência e celebração da cultura afro-brasileira.</t>
  </si>
  <si>
    <t>Direção: Celina Torrealba, Zeca Brito | Roteiro: Celina Torrealba, Zeca Brito | Produtora: Donna Produções Ltda | Produção: Donna Features | Fotografia: Celina Torrealba, Zeca Brito, Érica Rocha | Montagem: Jardel Machado Hermes | Música: Fernando Aranha, Guga Bruno | Elenco: Squel Jorgea, Marluce Medeiros, Marlon Lamar</t>
  </si>
  <si>
    <t>328</t>
  </si>
  <si>
    <t>Taísa Machado - Em Estado de Encontro</t>
  </si>
  <si>
    <t>Milena Manfredini</t>
  </si>
  <si>
    <t>Timoneira Produções</t>
  </si>
  <si>
    <t>Ana Beatriz Silva, Mariana Campos</t>
  </si>
  <si>
    <t>Antoine D'artemare</t>
  </si>
  <si>
    <t>João Araió</t>
  </si>
  <si>
    <t>Amir Haddad, Raphael Cruz, Renatinha Bronze, Taísa Machado, Valeria Monã</t>
  </si>
  <si>
    <t>O filme se organiza a partir de encontros: Taísa diante de seus arquivos pessoais, em conversas com familiares, amigos e mestres.</t>
  </si>
  <si>
    <t>Direção: Milena Manfredini | Roteiro: Milena Manfredini | Produtora: Timoneira Produções | Produção: Ana Beatriz Silva, Mariana Campos | Fotografia: Antoine D'artemare | Montagem: João Araió | Elenco: Amir Haddad, Raphael Cruz, Renatinha Bronze, Taísa Machado, Valeria Monã</t>
  </si>
  <si>
    <t>329</t>
  </si>
  <si>
    <t>Talismã</t>
  </si>
  <si>
    <t>Thais Fujinaga</t>
  </si>
  <si>
    <t>Fernanda Chicolet, Thais Fujinaga</t>
  </si>
  <si>
    <t>Vulcana Cinema</t>
  </si>
  <si>
    <t>Jessica Luz, Paola Wink, Daniel van Hoogstraten, Letícia Friedrich</t>
  </si>
  <si>
    <t>André Luiz de Luiz</t>
  </si>
  <si>
    <t>Alexandre Taira, Caroline Leone</t>
  </si>
  <si>
    <t>Fernanda Chicolet, Sophia Fuggacy, Stepan Nercessian, Allan Souza Lima, Ellen Correa</t>
  </si>
  <si>
    <t>Tereza é mãe solo e se divide entre dar aulas de dança e cuidar da filha, Pina, contando apenas com ajuda do pai idoso. Ela vê a vida virar de cabeça para baixo quando a filha entra num reality de talentos mirins. Pina quer chegar à final, no Rio de Janeiro, desejando retornar para a sua cidade natal. Enquanto ensaiam, a menina reacende na mãe sonhos do passado.</t>
  </si>
  <si>
    <t>Direção: Thais Fujinaga | Roteiro: Fernanda Chicolet, Thais Fujinaga | Produtora: Vulcana Cinema | Produção: Jessica Luz, Paola Wink, Daniel van Hoogstraten, Letícia Friedrich | Fotografia: André Luiz de Luiz | Montagem: Alexandre Taira, Caroline Leone | Música: Arthur Decloedt | Elenco: Fernanda Chicolet, Sophia Fuggacy, Stepan Nercessian, Allan Souza Lima, Ellen Correa</t>
  </si>
  <si>
    <t>330</t>
  </si>
  <si>
    <t>Tanaru</t>
  </si>
  <si>
    <t>Julia Mariano</t>
  </si>
  <si>
    <t>Noix Cultura</t>
  </si>
  <si>
    <t>Leo Nabuco</t>
  </si>
  <si>
    <t>Livia Goulart, Edt.</t>
  </si>
  <si>
    <t>Projeto Musica das Cachoeiras, Tuzé de Abreu</t>
  </si>
  <si>
    <t>Adonias do Carmo da Silva Jaboti, Altair José Algayer, Terra Indígena Tanaru</t>
  </si>
  <si>
    <t>A Terra Indígena Tanaru guarda a memória e a história do "índio do buraco", último indígena de seu povo, que sobreviveu ao massacre que assolou Rondônia nas décadas de 1980 e 1990.</t>
  </si>
  <si>
    <t>Direção: Julia Mariano | Roteiro: Julia Mariano | Produtora: Noix Cultura | Fotografia: Leo Nabuco | Montagem: Livia Goulart, Edt. | Música: Projeto Musica das Cachoeiras, Tuzé de Abreu | Elenco: Adonias do Carmo da Silva Jaboti, Altair José Algayer, Terra Indígena Tanaru</t>
  </si>
  <si>
    <t>331</t>
  </si>
  <si>
    <t>https://letterboxd.com/film/tarantinos-mind/</t>
  </si>
  <si>
    <t>Tarantino's Mind</t>
  </si>
  <si>
    <t>Tarantino’s Mind</t>
  </si>
  <si>
    <t>Republika Filmes</t>
  </si>
  <si>
    <t>Vitor Amati</t>
  </si>
  <si>
    <t>Marcelos Moraes</t>
  </si>
  <si>
    <t>Mogwai, Tom Waits</t>
  </si>
  <si>
    <t>Selton Mello, Seu Jorge</t>
  </si>
  <si>
    <t>Dois amigos cinéfilos conversam sobre cinema num bar tradicional de São Paulo, quando um deles revela uma tese original sobre os filmes do diretor Quentin Tarantino.</t>
  </si>
  <si>
    <t>Direção: 300ml | Roteiro: 300ml | Produtora: Republika Filmes | Produção: Republika Filmes | Fotografia: Vitor Amati | Montagem: Marcelos Moraes | Música: Mogwai, Tom Waits | Elenco: Selton Mello, Seu Jorge</t>
  </si>
  <si>
    <t>332</t>
  </si>
  <si>
    <t>Tempo à Faca</t>
  </si>
  <si>
    <t>Diogo Oliveira</t>
  </si>
  <si>
    <t>Ruy Guerra, Diogo Oliveira</t>
  </si>
  <si>
    <t>Têm Dendê</t>
  </si>
  <si>
    <t>Bruno Ramos, Vânia Lima , Keyti Souza</t>
  </si>
  <si>
    <t>Cláudio Antônio</t>
  </si>
  <si>
    <t>Victor Cohen</t>
  </si>
  <si>
    <t>André Machado Iii</t>
  </si>
  <si>
    <t>Agatha Moreira, Julio Adrião, Vertin Moura, Uiliana Lima, Irandhir Santos</t>
  </si>
  <si>
    <t>Em duas jornadas misteriosas, Neta e Deodato são movidos por um propósito em comum: cumprir uma missão. Guiados pela vingança e pela busca de um sentido para a vida, eles seguem por caminhos que podem transformar seus destinos.</t>
  </si>
  <si>
    <t>Direção: Diogo Oliveira | Roteiro: Ruy Guerra, Diogo Oliveira | Produtora: Têm Dendê | Produção: Bruno Ramos, Vânia Lima , Keyti Souza | Fotografia: Cláudio Antônio | Montagem: Victor Cohen | Música: André Machado Iii | Elenco: Agatha Moreira, Julio Adrião, Vertin Moura, Uiliana Lima, Irandhir Santos</t>
  </si>
  <si>
    <t>333</t>
  </si>
  <si>
    <t>Tempos de Inocência</t>
  </si>
  <si>
    <t>Gregory Baltz, Kaio Caiazzo</t>
  </si>
  <si>
    <t>Frico Guimarães</t>
  </si>
  <si>
    <t>Kaio Caiazzo</t>
  </si>
  <si>
    <t>Wagner Tiso</t>
  </si>
  <si>
    <t>Walter Lima Jr., Edson Celulari, Fernanda Torres</t>
  </si>
  <si>
    <t>Inspirado nas memórias de Walter Lima Jr., este filme percorre a história do cinema brasileiro através das múltiplas adaptações, realizadas e interrompidas, de Inocência, clássico da literatura nacional.</t>
  </si>
  <si>
    <t>Direção: Gregory Baltz, Kaio Caiazzo | Roteiro: Gregory Baltz, Kaio Caiazzo | Produtora: Baltazar Produção &amp; Conteúdo | Produção: Baltazar Produção &amp; Conteúdo | Fotografia: Frico Guimarães | Montagem: Kaio Caiazzo | Música: Wagner Tiso | Elenco: Walter Lima Jr., Edson Celulari, Fernanda Torres</t>
  </si>
  <si>
    <t>334</t>
  </si>
  <si>
    <t>Turma 101</t>
  </si>
  <si>
    <t>Clarice Saliby, Wagner Novais</t>
  </si>
  <si>
    <t>Tvzero</t>
  </si>
  <si>
    <t>Roberto Berliner, Sabrina Garcia, Leo Ribeiro</t>
  </si>
  <si>
    <t>Saulo Nicolai, Julio Constantini, Renato Carlos</t>
  </si>
  <si>
    <t>Clarice Saliby</t>
  </si>
  <si>
    <t>Trinta anos após uma foto escolar na Cidade de Deus, um cineasta e ex-aluno busca o paradeiro de seus antigos colegas da Turma 101. O documentário investiga trajetórias marcadas por desigualdade, sobrevivência e perdas. O reencontro na antiga escola culmina na recriação da imagem, unindo passado e presente em um retrato coletivo da favela.</t>
  </si>
  <si>
    <t>Direção: Wagner Novais | Roteiro: Clarice Saliby, Wagner Novais | Produtora: Tvzero | Produção: Roberto Berliner, Sabrina Garcia, Leo Ribeiro | Fotografia: Saulo Nicolai, Julio Constantini, Renato Carlos | Montagem: Clarice Saliby | Música: Fernando Aranha, Guga Bruno</t>
  </si>
  <si>
    <t>335</t>
  </si>
  <si>
    <t>Um Domingo</t>
  </si>
  <si>
    <t>Domingo, Um</t>
  </si>
  <si>
    <t>Maíra Bühler, Rô Albuquerque</t>
  </si>
  <si>
    <t>Maíra Buhler, Rô Albuquerque</t>
  </si>
  <si>
    <t>Manjericão Filmes</t>
  </si>
  <si>
    <t>Rafaella Costa, Maíra Bühler</t>
  </si>
  <si>
    <t>Willem Dias</t>
  </si>
  <si>
    <t>Rô Albuquerque, Tricka Carvalho, Ph Veríssima</t>
  </si>
  <si>
    <t>Depois de uma noite num bar no extremo sul de São Paulo, três amigas acordam de ressaca e percebem que a quarta não voltou. Entre mensagens sem resposta e a tentativa de seguir o domingo, a espera se equilibra entre o trágico e o cômico.</t>
  </si>
  <si>
    <t>Direção: Maíra Bühler, Rô Albuquerque | Roteiro: Maíra Buhler, Rô Albuquerque | Produtora: Manjericão Filmes | Produção: Rafaella Costa, Maíra Bühler | Fotografia: Léo Bittencourt | Montagem: Willem Dias | Elenco: Rô Albuquerque, Tricka Carvalho, Ph Veríssima</t>
  </si>
  <si>
    <t>336</t>
  </si>
  <si>
    <t>https://letterboxd.com/film/uma-missa-para-dom-angelico/</t>
  </si>
  <si>
    <t>Uma Missa para Dom Angélico</t>
  </si>
  <si>
    <t>Missa para Dom Angélico, Uma</t>
  </si>
  <si>
    <t>Emilia Silveira</t>
  </si>
  <si>
    <t>Emilia Silveira, Mayra Almeida</t>
  </si>
  <si>
    <t>Instituto Cultura em Movimento – Icem</t>
  </si>
  <si>
    <t>Alberto Graça, Luciana Boal Marinho</t>
  </si>
  <si>
    <t>Jacques Cheuiche (ABC), Fábio Bardella</t>
  </si>
  <si>
    <t>Vinicius Nascimento, Edt, Pablo French</t>
  </si>
  <si>
    <t>Roger Henri</t>
  </si>
  <si>
    <t>Bispo Dom Angélico Sândalo, Padre Júlio Lancellotti, Frei Betto</t>
  </si>
  <si>
    <t>Dom Angélico nasce numa família pobre e se destaca no apoio aos movimentos sociais que eclodem no final dos anos 1950. O Bispo dos oprimidos e das passeatas, da luta por mais moradia e melhores condições de vida para os trabalhadores. Ele comandou multidões nas missas por direitos humanos. No jornalismo, informou as comunidades com o Grita Povo. Perseguido pela ditadura militar, enfrentou a polícia, foi detido e ameaçado várias vezes, mas nunca se calou. Dom Angélico viveu 92 anos acreditando que é possível unir fé em Deus e política por um mundo melhor.</t>
  </si>
  <si>
    <t>Direção: Emilia Silveira | Roteiro: Emilia Silveira, Mayra Almeida | Produtora: Instituto Cultura em Movimento – Icem | Produção: Alberto Graça, Luciana Boal Marinho | Fotografia: Jacques Cheuiche (ABC), Fábio Bardella | Montagem: Vinicius Nascimento, Edt, Pablo French | Música: Roger Henri | Elenco: Bispo Dom Angélico Sândalo, Padre Júlio Lancellotti, Frei Betto</t>
  </si>
  <si>
    <t>337</t>
  </si>
  <si>
    <t>https://letterboxd.com/film/verao-da-lata/</t>
  </si>
  <si>
    <t>Verão da Lata</t>
  </si>
  <si>
    <t>Santiago Dellape</t>
  </si>
  <si>
    <t>Davi Mattos, Renato Fagundes, Santiago Dellape</t>
  </si>
  <si>
    <t>Gancho de Nuvem, A Fábrica, Na Paralela Filmes, Nada Consta Produções Artísticas, Warner Bros. Discovery, H2o Produções</t>
  </si>
  <si>
    <t>Larissa Rolim, Camila Ciolin, Luiz Noronha, Santiago Dellape</t>
  </si>
  <si>
    <t>André Carvalheira, ABC</t>
  </si>
  <si>
    <t>Maria Rezende, Edt., Santiago Dellape, Edt.</t>
  </si>
  <si>
    <t>Plínio Profeta</t>
  </si>
  <si>
    <t>Samantha Schmütz, Babu Santana</t>
  </si>
  <si>
    <t>No verão de 1987, Rio de Janeiro, milhares de latas de maconha aparecem misteriosamente nas praias cariocas e provocam uma corrida pelo inesperado “ouro verde”. Para investigar o caso, o delegado Dantas reúne dois policiais federais de temperamentos opostos: Sandra, uma tira malandra e viciada em jogo, e Brasa, um devoto do protocolo que nunca prendeu ninguém. Cercada por traficantes, policiais corruptos, jornalistas e oportunistas, a dupla precisa superar as diferenças antes que o caos tome conta do litoral. Uma comédia policial baseada em baseados reais.</t>
  </si>
  <si>
    <t>Direção: Santiago Dellape | Roteiro: Davi Mattos, Renato Fagundes, Santiago Dellape | Produtora: Gancho de Nuvem, A Fábrica, Na Paralela Filmes, Nada Consta Produções Artísticas, Warner Bros. Discovery, H2o Produções | Produção: Larissa Rolim, Camila Ciolin, Luiz Noronha, Santiago Dellape | Fotografia: André Carvalheira, ABC | Montagem: Maria Rezende, Edt., Santiago Dellape, Edt. | Música: Plínio Profeta | Elenco: Samantha Schmütz, Babu Santana</t>
  </si>
  <si>
    <t>338</t>
  </si>
  <si>
    <t>https://letterboxd.com/film/vicentina-pede-desculpas/</t>
  </si>
  <si>
    <t>Vicentina Pede Desculpas</t>
  </si>
  <si>
    <t>Gabriel Martins</t>
  </si>
  <si>
    <t>Filmes de Plástico</t>
  </si>
  <si>
    <t>Leonardo Feliciano</t>
  </si>
  <si>
    <t>Gabriel Martins, Thiago Ricarte</t>
  </si>
  <si>
    <t>Tiganá Santana</t>
  </si>
  <si>
    <t>Rejane Faria, Maíra Azevedo, Renato Novaes, Giovanni Venturini, Giovanna Heliodoro</t>
  </si>
  <si>
    <t>Quando um ônibus dirigido por seu filho cai de um viaduto, tirando a vida de dezenas de pessoas, Vicentina procura as famílias das vítimas para pedir desculpas, apenas para descobrir os limites do perdão. O filme estreou mundialmente na seção Plataforma do Festival de Toronto e integrou a Seleção Oficial do Festival de San Sebastián 2026.</t>
  </si>
  <si>
    <t>Direção: Gabriel Martins | Roteiro: Gabriel Martins | Produtora: Filmes de Plástico | Produção: Thiago Macêdo Correia | Fotografia: Leonardo Feliciano | Montagem: Gabriel Martins, Thiago Ricarte | Música: Tiganá Santana | Elenco: Rejane Faria, Maíra Azevedo, Renato Novaes, Giovanni Venturini, Giovanna Heliodoro</t>
  </si>
  <si>
    <t>339</t>
  </si>
  <si>
    <t>Vitória da Paz</t>
  </si>
  <si>
    <t>Ricardo Calil, Fábio Gusmão, Dudu Levy</t>
  </si>
  <si>
    <t>Ricardo Calil, Fabio Gusmão</t>
  </si>
  <si>
    <t>Globo</t>
  </si>
  <si>
    <t>Ana Luisa Miranda</t>
  </si>
  <si>
    <t>Dudu Levy</t>
  </si>
  <si>
    <t>Rafael Armbrust</t>
  </si>
  <si>
    <t>Dé Palmeira</t>
  </si>
  <si>
    <t>A história de uma heroína brasileira, uma senhora negra de 80 anos que não se conformou com a realidade diante da janela de seu apartamento, em Copacabana. Em 2003, ela comprou uma câmera para gravar e denunciar as ações do crime organizado e da corrupção policial. As fitas de vídeo chegaram às mãos do repórter Fábio Gusmão, que a ajudou a entrar para o programa de proteção de testemunhas e a desencadear uma investigação que levou à prisão de 48 criminosos, incluindo 9 policiais. Seu rosto e nome reais foram mantidos em sigilo por 17 anos.</t>
  </si>
  <si>
    <t>Direção: Ricardo Calil, Fábio Gusmão, Dudu Levy | Roteiro: Ricardo Calil, Fabio Gusmão | Produtora: Globo | Produção: Ana Luisa Miranda | Fotografia: Dudu Levy | Montagem: Rafael Armbrust | Música: Dé Palmeira</t>
  </si>
  <si>
    <t>340</t>
  </si>
  <si>
    <t>https://letterboxd.com/film/vivo-76/</t>
  </si>
  <si>
    <t>Vivo 76</t>
  </si>
  <si>
    <t>Lírio Ferreira</t>
  </si>
  <si>
    <t>Cláudio Assis, Dillner Gomes, Lírio Ferreira</t>
  </si>
  <si>
    <t>Ivo Lopes</t>
  </si>
  <si>
    <t>Mair Tavares, Luisa Dowsley, Edt</t>
  </si>
  <si>
    <t>Alceu Valença</t>
  </si>
  <si>
    <t>A cultura e as influências que marcaram a criação e a interpretação das canções de Vivo!, terceiro álbum do cantor e compositor pernambucano Alceu Valença, lançado em 1976. A partir dele, traça um retrato do nascimento da cena psicodélica pernambucana, de suas artes visuais e personagens fantásticos aos primeiros voos rumo ao Rio de Janeiro e ao sucesso. Uma viagem aos anos 70 com as lentes de hoje e os olhos de amanhã.</t>
  </si>
  <si>
    <t>Direção: Lírio Ferreira | Roteiro: Cláudio Assis, Dillner Gomes, Lírio Ferreira | Produtora: Perdidas Ilusões | Produção: Camila Valença | Fotografia: Ivo Lopes | Montagem: Mair Tavares, Luisa Dowsley, Edt | Música: Alceu Valença | Elenco: Alceu Valença</t>
  </si>
  <si>
    <t>341</t>
  </si>
  <si>
    <t>Vozes na sua Cabeça</t>
  </si>
  <si>
    <t>Douglas Duarte</t>
  </si>
  <si>
    <t>Amana Cine, Pulo Filmes</t>
  </si>
  <si>
    <t>Mariana Genescá, Douglas Duarte</t>
  </si>
  <si>
    <t>Johann Jean, Wilssa Esser (Avc Dafb), Rudá Capriles, Pedro Faerstein, Phillipe Noguchi, Douglas Duarte</t>
  </si>
  <si>
    <t>Tainá Menezes, Edt, Douglas Duarte</t>
  </si>
  <si>
    <t>Draulio Araújo, Fran Flora, Josir Azevedo, Nixiwaká Yawanawá, Rui Mateus</t>
  </si>
  <si>
    <t>Pessoas distintas – um técnico de explosões, uma visagista, um físico, um líder indígena e um sacerdote do Santo Daime – narram como os psicodélicos transformaram suas vidas de formas inesperadas e profundas.</t>
  </si>
  <si>
    <t>Direção: Douglas Duarte | Roteiro: Douglas Duarte | Produtora: Amana Cine, Pulo Filmes | Produção: Mariana Genescá, Douglas Duarte | Fotografia: Johann Jean, Wilssa Esser (Avc Dafb), Rudá Capriles, Pedro Faerstein, Phillipe Noguchi, Douglas Duarte | Montagem: Tainá Menezes, Edt, Douglas Duarte | Música: Douglas Duarte | Elenco: Draulio Araújo, Fran Flora, Josir Azevedo, Nixiwaká Yawanawá, Rui Mateus</t>
  </si>
  <si>
    <t>342</t>
  </si>
  <si>
    <t>Gala de Abertura</t>
  </si>
  <si>
    <t>https://letterboxd.com/film/la-bola-negra/</t>
  </si>
  <si>
    <t>A Bola Preta</t>
  </si>
  <si>
    <t>Bola Negra, La</t>
  </si>
  <si>
    <t>Espanha + 1 país</t>
  </si>
  <si>
    <t>Javier Calvo, Javier Ambrossi</t>
  </si>
  <si>
    <t>Javier Calvo, Javier Ambrossi, Alberto Conejero</t>
  </si>
  <si>
    <t>Suma Content Films</t>
  </si>
  <si>
    <t>Javier Calvo, Javier Ambrossi, Jorge Pezzi</t>
  </si>
  <si>
    <t>Gris Jordana</t>
  </si>
  <si>
    <t>Alberto Gutiérrez</t>
  </si>
  <si>
    <t>Raül Refree</t>
  </si>
  <si>
    <t>Guitarricadelafuente, Miguel Bernardeau, Carlos González, Milo Quifes, Lola Dueñas, Penélope Cruz, Glenn Close</t>
  </si>
  <si>
    <t>Em três momentos distintos da história da Espanha — 1932, a Guerra Civil em 1937 e 2017 —, as vidas de três homens se entrelaçam através do desejo, da sexualidade, da dor e da herança. Inspirado em uma das últimas obras inacabadas de Federico García Lorca, este épico queer investiga como o amor e a identidade sobrevivem à guerra, à repressão e ao silêncio herdado. Filme vencedor do prêmio de Melhor Direção no Festival de Cannes 2026.</t>
  </si>
  <si>
    <t>Direção: Javier Calvo, Javier Ambrossi | Roteiro: Javier Calvo, Javier Ambrossi, Alberto Conejero | Produtora: Suma Content Films | Produção: Javier Calvo, Javier Ambrossi, Jorge Pezzi | Fotografia: Gris Jordana | Montagem: Alberto Gutiérrez | Música: Raül Refree | Elenco: Guitarricadelafuente, Miguel Bernardeau, Carlos González, Milo Quifes, Lola Dueñas, Penélope Cruz, Glenn Close</t>
  </si>
  <si>
    <t>343</t>
  </si>
  <si>
    <t>Gala de Encerramento</t>
  </si>
  <si>
    <t>https://letterboxd.com/film/club-kid/</t>
  </si>
  <si>
    <t>Club Kid</t>
  </si>
  <si>
    <t>Jordan Firstman</t>
  </si>
  <si>
    <t>Twin Pictures, Topic Studios, Rapt Film</t>
  </si>
  <si>
    <t>Ryan Heller, Michael Bloom, Alex Coco, Galen Core</t>
  </si>
  <si>
    <t>Adam Newport-Berra</t>
  </si>
  <si>
    <t>Taylor Levy, Sofia Subercaseaux</t>
  </si>
  <si>
    <t>Cristóbal Tapia de Veer</t>
  </si>
  <si>
    <t>Jordan Firstman, Reggie Absolom, Diego Calva, Cara Delevingne, Kirby Howell-Baptiste, Colleen Camp, Vicki Pepperdine, Nigil Whyte, Eldar Isgandarov, Saturn Risin9, Miss Benny, Alaska Riley</t>
  </si>
  <si>
    <t>Peter, um promoter de festas de Nova York, vive uma rotina de drogas, sexo e noites sem dormir. Essa existência caótica é abalada quando Arlo, o filho de dez anos que ele nem sabia ter, surge em sua vida após a morte da mãe. Forçado a enfrentar a paternidade, os vícios e os limites de seu estilo de vida, Peter precisa decidir se finalmente está pronto para amadurecer. Estreia mundial na mostra Un Certain Regard do Festival de Cannes 2026, onde causou grande repercussão.</t>
  </si>
  <si>
    <t>Direção: Jordan Firstman | Roteiro: Jordan Firstman | Produtora: Twin Pictures, Topic Studios, Rapt Film | Produção: Ryan Heller, Michael Bloom, Alex Coco, Galen Core | Fotografia: Adam Newport-Berra | Montagem: Taylor Levy, Sofia Subercaseaux | Música: Cristóbal Tapia de Veer | Elenco: Jordan Firstman, Reggie Absolom, Diego Calva, Cara Delevingne, Kirby Howell-Baptiste, Colleen Camp, Vicki Pepperdine, Nigil Whyte, Eldar Isgandarov, Saturn Risin9, Miss Benny, Alaska Riley</t>
  </si>
  <si>
    <t>Data</t>
  </si>
  <si>
    <t>Dia</t>
  </si>
  <si>
    <t>Horário</t>
  </si>
  <si>
    <t>Cinema</t>
  </si>
  <si>
    <t>Endereço</t>
  </si>
  <si>
    <t>Sala</t>
  </si>
  <si>
    <t>Observações</t>
  </si>
  <si>
    <t>Gratuita</t>
  </si>
  <si>
    <t>Com convidado</t>
  </si>
  <si>
    <t>Com debate</t>
  </si>
  <si>
    <t>Ter</t>
  </si>
  <si>
    <t>Cine Odeon - CCLSR</t>
  </si>
  <si>
    <t>Praça Floriano, 7</t>
  </si>
  <si>
    <t>Qui</t>
  </si>
  <si>
    <t>Kinoplex São Luiz</t>
  </si>
  <si>
    <t>Rua do Catete, 311 - Catete</t>
  </si>
  <si>
    <t>Sáb</t>
  </si>
  <si>
    <t>Estação Claro Gávea</t>
  </si>
  <si>
    <t>Rua Marquês de São Vicente, 52</t>
  </si>
  <si>
    <t>Cinesystem Belas Artes Botafogo</t>
  </si>
  <si>
    <t>Praia de Botafogo, 316</t>
  </si>
  <si>
    <t>Seg</t>
  </si>
  <si>
    <t>CineCarioca José Wilker</t>
  </si>
  <si>
    <t>Rua Leite Leal, 45</t>
  </si>
  <si>
    <t>Sex</t>
  </si>
  <si>
    <t>Dom</t>
  </si>
  <si>
    <t>Reserva Cultural Niterói</t>
  </si>
  <si>
    <t>Av. Visconde do Rio Branco, 880</t>
  </si>
  <si>
    <t>Estação Claro Rio</t>
  </si>
  <si>
    <t>Rua Voluntários da Pátria, 35</t>
  </si>
  <si>
    <t>Cine Santa Teresa</t>
  </si>
  <si>
    <t>Rua Paschoal Carlos Magno, 136</t>
  </si>
  <si>
    <t>Qua</t>
  </si>
  <si>
    <t>Sessão especial</t>
  </si>
  <si>
    <t>CineCarioca Penha</t>
  </si>
  <si>
    <t>Av. Brás de Pina, 150</t>
  </si>
  <si>
    <t>Centro Cultural da Justiça Federal - CCJF - Cinema</t>
  </si>
  <si>
    <t>Av. Rio Branco, 241</t>
  </si>
  <si>
    <t>CineCarioca Nova Brasília</t>
  </si>
  <si>
    <t>Praça Nossa Senhora de Fátima - Rua Nova Brasília, S/N</t>
  </si>
  <si>
    <t>Centro Cultural da Justiça Federal - CCJF - Teatro</t>
  </si>
  <si>
    <t>Centro Cultural FGV</t>
  </si>
  <si>
    <t>Praia de Botafogo, 190</t>
  </si>
  <si>
    <t>Areninha Carioca Renato Russo</t>
  </si>
  <si>
    <t>Parque Poeta Manuel Bandeira, SN - Aterro do Cocotá</t>
  </si>
  <si>
    <t>Parque Realengo Susana Naspolini</t>
  </si>
  <si>
    <t>Rua Prof. Carlos Wenceslau, 290</t>
  </si>
  <si>
    <t>Na sessão de Programa de Curtas Wim Wenders</t>
  </si>
  <si>
    <t>Na sessão de The Story of Documentary Film - Programa I</t>
  </si>
  <si>
    <t>Na sessão de The Story of Documentary Film - Programa II</t>
  </si>
  <si>
    <t>Na sessão de The Story of Documentary Film - Programa III</t>
  </si>
  <si>
    <t>Na sessão de Elza</t>
  </si>
  <si>
    <t>Na sessão de LONDON</t>
  </si>
  <si>
    <t>Na sessão de Panorama de Curtas Cariocas</t>
  </si>
  <si>
    <t>Na sessão de Cidade das almas perdidas</t>
  </si>
  <si>
    <t>Na sessão de Diário do Fogo</t>
  </si>
  <si>
    <t>Na sessão de O Filho da Puta</t>
  </si>
  <si>
    <t>Na sessão de Pardo é Papel</t>
  </si>
  <si>
    <t>Na sessão de Minha Primeira Namorada</t>
  </si>
  <si>
    <t>Sessão conjunta com Esperança</t>
  </si>
  <si>
    <t>Na sessão de Jardim dos Silêncios</t>
  </si>
  <si>
    <t>Na sessão de Vozes na sua Cabeça</t>
  </si>
  <si>
    <t>Na sessão de Medley</t>
  </si>
  <si>
    <t>Sessão conjunta com Cinderela do Samba</t>
  </si>
  <si>
    <t>Na sessão de A Extraordinária Vida de Vera Valdez</t>
  </si>
  <si>
    <t>Na sessão de O Deserto de Luiza</t>
  </si>
  <si>
    <t>Na sessão de Dragões</t>
  </si>
  <si>
    <t>Na sessão de Turma 101</t>
  </si>
  <si>
    <t>Na sessão de O Cinema Possível</t>
  </si>
  <si>
    <t>Na sessão de Fui Olhar Você Dormir</t>
  </si>
  <si>
    <t>Na sessão de Ela Foi Ali Guardar o Coração na Geladeira</t>
  </si>
  <si>
    <t>Na sessão de Isabel</t>
  </si>
  <si>
    <t>Na sessão de Talismã</t>
  </si>
  <si>
    <t>Na sessão de Chuva Ácida: Histórias do Crepúsculo de Cubatão</t>
  </si>
  <si>
    <t>Na sessão de Não Estamos Sonhando</t>
  </si>
  <si>
    <t>Na sessão de Malick</t>
  </si>
  <si>
    <t>Na sessão de A Professora de Francês</t>
  </si>
  <si>
    <t>Na sessão de Oceânico</t>
  </si>
  <si>
    <t>Na sessão de Cão Sem Plumas</t>
  </si>
  <si>
    <t>Na sessão de Baile das Luzes</t>
  </si>
  <si>
    <t>Na sessão de Por Que Não?</t>
  </si>
  <si>
    <t>Na sessão de La Perra</t>
  </si>
  <si>
    <t>Na sessão de Mario Carneiro - Gravura Feita de Luz</t>
  </si>
  <si>
    <t>Na sessão de 144 – Apocalipse Não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</si>
</sst>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quot;'&quot;"/>
    <numFmt numFmtId="165" formatCode="dd/mm/yyyy"/>
    <numFmt numFmtId="166" formatCode="hh:mm"/>
  </numFmts>
  <fonts count="8">
    <font>
      <sz val="11.0"/>
      <color rgb="FF000000"/>
      <name val="Carlito"/>
      <scheme val="minor"/>
    </font>
    <font>
      <b/>
      <sz val="11.0"/>
      <color rgb="FFFFFFFF"/>
      <name val="Carlito"/>
    </font>
    <font>
      <sz val="11.0"/>
      <color theme="1"/>
      <name val="Carlito"/>
    </font>
    <font>
      <b/>
      <u/>
      <sz val="11.0"/>
      <color rgb="FF0000FF"/>
      <name val="Carlito"/>
    </font>
    <font>
      <b/>
      <sz val="11.0"/>
      <color theme="1"/>
      <name val="Carlito"/>
    </font>
    <font>
      <b/>
      <u/>
      <sz val="11.0"/>
      <color rgb="FF0000FF"/>
      <name val="Carlito"/>
    </font>
    <font>
      <b/>
      <u/>
      <sz val="11.0"/>
      <color rgb="FF0000FF"/>
      <name val="Carlito"/>
    </font>
    <font>
      <color rgb="FF188038"/>
      <name val="&quot;Google Sans Mono&quot;"/>
    </font>
  </fonts>
  <fills count="5">
    <fill>
      <patternFill patternType="none"/>
    </fill>
    <fill>
      <patternFill patternType="lightGray"/>
    </fill>
    <fill>
      <patternFill patternType="solid">
        <fgColor rgb="FF7B1E2B"/>
        <bgColor rgb="FF7B1E2B"/>
      </patternFill>
    </fill>
    <fill>
      <patternFill patternType="solid">
        <fgColor rgb="FFFFF2CC"/>
        <bgColor rgb="FFFFF2CC"/>
      </patternFill>
    </fill>
    <fill>
      <patternFill patternType="solid">
        <fgColor rgb="FFDDE3EA"/>
        <bgColor rgb="FFDDE3EA"/>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ill="1" applyFont="1">
      <alignment horizontal="center" readingOrder="0" vertical="center"/>
    </xf>
    <xf borderId="0" fillId="2" fontId="1" numFmtId="0" xfId="0" applyAlignment="1" applyFill="1" applyFont="1">
      <alignment horizontal="center" vertical="center"/>
    </xf>
    <xf borderId="0" fillId="0" fontId="2" numFmtId="49" xfId="0" applyAlignment="1" applyFont="1" applyNumberForma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shrinkToFit="0" vertical="top" wrapText="1"/>
    </xf>
    <xf borderId="0" fillId="0" fontId="2" numFmtId="164" xfId="0" applyAlignment="1" applyFont="1" applyNumberFormat="1">
      <alignment shrinkToFit="0" vertical="top" wrapText="1"/>
    </xf>
    <xf borderId="0" fillId="0" fontId="2" numFmtId="49" xfId="0" applyAlignment="1" applyFont="1" applyNumberFormat="1">
      <alignment shrinkToFit="0" vertical="top" wrapText="1"/>
    </xf>
    <xf borderId="0" fillId="0" fontId="2"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horizontal="left" readingOrder="0" shrinkToFit="0" vertical="top" wrapText="1"/>
    </xf>
    <xf borderId="0" fillId="3" fontId="4" numFmtId="0" xfId="0" applyAlignment="1" applyFill="1" applyFont="1">
      <alignment shrinkToFit="0" vertical="top" wrapText="1"/>
    </xf>
    <xf borderId="0" fillId="0" fontId="2" numFmtId="165" xfId="0" applyAlignment="1" applyFont="1" applyNumberFormat="1">
      <alignment shrinkToFit="0" vertical="top" wrapText="1"/>
    </xf>
    <xf borderId="0" fillId="0" fontId="2" numFmtId="166" xfId="0" applyAlignment="1" applyFont="1" applyNumberFormat="1">
      <alignment shrinkToFit="0" vertical="top" wrapText="1"/>
    </xf>
    <xf borderId="0" fillId="4" fontId="7" numFmtId="49" xfId="0" applyFill="1" applyFont="1" applyNumberFormat="1"/>
    <xf borderId="0" fillId="0" fontId="2" numFmtId="0" xfId="0" applyAlignment="1" applyFont="1">
      <alignment horizontal="left"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cellXfs>
  <cellStyles count="1">
    <cellStyle xfId="0" name="Normal" builtinId="0"/>
  </cellStyles>
  <dxfs count="1">
    <dxf>
      <font/>
      <fill>
        <patternFill patternType="solid">
          <fgColor rgb="FFFFF3CD"/>
          <bgColor rgb="FFFFF3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tterboxd.com/film/sheep-in-the-box/" TargetMode="External"/><Relationship Id="rId190" Type="http://schemas.openxmlformats.org/officeDocument/2006/relationships/hyperlink" Target="https://letterboxd.com/film/o-tempo-e-o-lugar/" TargetMode="External"/><Relationship Id="rId42" Type="http://schemas.openxmlformats.org/officeDocument/2006/relationships/hyperlink" Target="https://letterboxd.com/film/we-are-all-strangers/" TargetMode="External"/><Relationship Id="rId41" Type="http://schemas.openxmlformats.org/officeDocument/2006/relationships/hyperlink" Target="https://letterboxd.com/film/seuls-les-rebelles/" TargetMode="External"/><Relationship Id="rId44" Type="http://schemas.openxmlformats.org/officeDocument/2006/relationships/hyperlink" Target="https://letterboxd.com/film/mr-nelson-did-you-kill-people/" TargetMode="External"/><Relationship Id="rId194" Type="http://schemas.openxmlformats.org/officeDocument/2006/relationships/hyperlink" Target="https://letterboxd.com/film/privadas-de-suas-vidas/" TargetMode="External"/><Relationship Id="rId43" Type="http://schemas.openxmlformats.org/officeDocument/2006/relationships/hyperlink" Target="https://letterboxd.com/film/soumsoum-the-night-of-the-stars/" TargetMode="External"/><Relationship Id="rId193" Type="http://schemas.openxmlformats.org/officeDocument/2006/relationships/hyperlink" Target="https://letterboxd.com/film/pique-pega/" TargetMode="External"/><Relationship Id="rId46" Type="http://schemas.openxmlformats.org/officeDocument/2006/relationships/hyperlink" Target="https://letterboxd.com/film/the-echo-chamber/" TargetMode="External"/><Relationship Id="rId192" Type="http://schemas.openxmlformats.org/officeDocument/2006/relationships/hyperlink" Target="https://letterboxd.com/film/pedra-mar/" TargetMode="External"/><Relationship Id="rId45" Type="http://schemas.openxmlformats.org/officeDocument/2006/relationships/hyperlink" Target="https://letterboxd.com/film/tender-loving-care-2026/" TargetMode="External"/><Relationship Id="rId191" Type="http://schemas.openxmlformats.org/officeDocument/2006/relationships/hyperlink" Target="https://letterboxd.com/film/overman/" TargetMode="External"/><Relationship Id="rId48" Type="http://schemas.openxmlformats.org/officeDocument/2006/relationships/hyperlink" Target="https://letterboxd.com/film/everybody-digs-bill-evans/" TargetMode="External"/><Relationship Id="rId187" Type="http://schemas.openxmlformats.org/officeDocument/2006/relationships/hyperlink" Target="https://letterboxd.com/film/mounir/" TargetMode="External"/><Relationship Id="rId47" Type="http://schemas.openxmlformats.org/officeDocument/2006/relationships/hyperlink" Target="https://letterboxd.com/film/the-man-i-love-2026/" TargetMode="External"/><Relationship Id="rId186" Type="http://schemas.openxmlformats.org/officeDocument/2006/relationships/hyperlink" Target="https://letterboxd.com/film/mira/" TargetMode="External"/><Relationship Id="rId185" Type="http://schemas.openxmlformats.org/officeDocument/2006/relationships/hyperlink" Target="https://letterboxd.com/film/minha-primeira-namorada/" TargetMode="External"/><Relationship Id="rId49" Type="http://schemas.openxmlformats.org/officeDocument/2006/relationships/hyperlink" Target="https://letterboxd.com/film/all-the-lovers-in-the-night/" TargetMode="External"/><Relationship Id="rId184" Type="http://schemas.openxmlformats.org/officeDocument/2006/relationships/hyperlink" Target="https://letterboxd.com/film/medley/" TargetMode="External"/><Relationship Id="rId189" Type="http://schemas.openxmlformats.org/officeDocument/2006/relationships/hyperlink" Target="https://letterboxd.com/film/o-sertao-das-nossas-memorias/" TargetMode="External"/><Relationship Id="rId188" Type="http://schemas.openxmlformats.org/officeDocument/2006/relationships/hyperlink" Target="https://letterboxd.com/film/mr-wonderful/" TargetMode="External"/><Relationship Id="rId31" Type="http://schemas.openxmlformats.org/officeDocument/2006/relationships/hyperlink" Target="https://letterboxd.com/film/eight-bridges/" TargetMode="External"/><Relationship Id="rId30" Type="http://schemas.openxmlformats.org/officeDocument/2006/relationships/hyperlink" Target="https://letterboxd.com/film/the-last-resort-2026/" TargetMode="External"/><Relationship Id="rId33" Type="http://schemas.openxmlformats.org/officeDocument/2006/relationships/hyperlink" Target="https://letterboxd.com/film/prima-facie-2026/" TargetMode="External"/><Relationship Id="rId183" Type="http://schemas.openxmlformats.org/officeDocument/2006/relationships/hyperlink" Target="https://letterboxd.com/film/maria-de-maria/" TargetMode="External"/><Relationship Id="rId32" Type="http://schemas.openxmlformats.org/officeDocument/2006/relationships/hyperlink" Target="https://letterboxd.com/film/growth-of-the-soil-2026/" TargetMode="External"/><Relationship Id="rId182" Type="http://schemas.openxmlformats.org/officeDocument/2006/relationships/hyperlink" Target="https://letterboxd.com/film/malick/" TargetMode="External"/><Relationship Id="rId35" Type="http://schemas.openxmlformats.org/officeDocument/2006/relationships/hyperlink" Target="https://letterboxd.com/film/queen-at-sea/" TargetMode="External"/><Relationship Id="rId181" Type="http://schemas.openxmlformats.org/officeDocument/2006/relationships/hyperlink" Target="https://letterboxd.com/film/london/" TargetMode="External"/><Relationship Id="rId34" Type="http://schemas.openxmlformats.org/officeDocument/2006/relationships/hyperlink" Target="https://letterboxd.com/film/four-minus-three/" TargetMode="External"/><Relationship Id="rId180" Type="http://schemas.openxmlformats.org/officeDocument/2006/relationships/hyperlink" Target="https://letterboxd.com/film/justino-nos-bastidores-do-reino/" TargetMode="External"/><Relationship Id="rId37" Type="http://schemas.openxmlformats.org/officeDocument/2006/relationships/hyperlink" Target="https://letterboxd.com/film/rosebush-pruning/" TargetMode="External"/><Relationship Id="rId176" Type="http://schemas.openxmlformats.org/officeDocument/2006/relationships/hyperlink" Target="https://letterboxd.com/film/isabel/" TargetMode="External"/><Relationship Id="rId36" Type="http://schemas.openxmlformats.org/officeDocument/2006/relationships/hyperlink" Target="https://letterboxd.com/film/rose-2026/" TargetMode="External"/><Relationship Id="rId175" Type="http://schemas.openxmlformats.org/officeDocument/2006/relationships/hyperlink" Target="https://letterboxd.com/film/funk/" TargetMode="External"/><Relationship Id="rId39" Type="http://schemas.openxmlformats.org/officeDocument/2006/relationships/hyperlink" Target="https://letterboxd.com/film/well-find-happiness/" TargetMode="External"/><Relationship Id="rId174" Type="http://schemas.openxmlformats.org/officeDocument/2006/relationships/hyperlink" Target="https://letterboxd.com/film/fundura/" TargetMode="External"/><Relationship Id="rId38" Type="http://schemas.openxmlformats.org/officeDocument/2006/relationships/hyperlink" Target="https://letterboxd.com/film/no-pain-2026/" TargetMode="External"/><Relationship Id="rId173" Type="http://schemas.openxmlformats.org/officeDocument/2006/relationships/hyperlink" Target="https://letterboxd.com/film/fernanda/" TargetMode="External"/><Relationship Id="rId179" Type="http://schemas.openxmlformats.org/officeDocument/2006/relationships/hyperlink" Target="https://letterboxd.com/film/joqueta/" TargetMode="External"/><Relationship Id="rId178" Type="http://schemas.openxmlformats.org/officeDocument/2006/relationships/hyperlink" Target="https://letterboxd.com/film/jardim-dos-silencios/" TargetMode="External"/><Relationship Id="rId177" Type="http://schemas.openxmlformats.org/officeDocument/2006/relationships/hyperlink" Target="https://letterboxd.com/film/janela-da-alma/" TargetMode="External"/><Relationship Id="rId20" Type="http://schemas.openxmlformats.org/officeDocument/2006/relationships/hyperlink" Target="https://boxd.it/N8by" TargetMode="External"/><Relationship Id="rId22" Type="http://schemas.openxmlformats.org/officeDocument/2006/relationships/hyperlink" Target="https://boxd.it/NzPA" TargetMode="External"/><Relationship Id="rId21" Type="http://schemas.openxmlformats.org/officeDocument/2006/relationships/hyperlink" Target="https://boxd.it/X3MY" TargetMode="External"/><Relationship Id="rId24" Type="http://schemas.openxmlformats.org/officeDocument/2006/relationships/hyperlink" Target="https://boxd.it/Lc9s" TargetMode="External"/><Relationship Id="rId23" Type="http://schemas.openxmlformats.org/officeDocument/2006/relationships/hyperlink" Target="https://boxd.it/UEAa" TargetMode="External"/><Relationship Id="rId26" Type="http://schemas.openxmlformats.org/officeDocument/2006/relationships/hyperlink" Target="https://boxd.it/V6FC" TargetMode="External"/><Relationship Id="rId25" Type="http://schemas.openxmlformats.org/officeDocument/2006/relationships/hyperlink" Target="https://boxd.it/XZ0I" TargetMode="External"/><Relationship Id="rId28" Type="http://schemas.openxmlformats.org/officeDocument/2006/relationships/hyperlink" Target="https://boxd.it/AWo2" TargetMode="External"/><Relationship Id="rId27" Type="http://schemas.openxmlformats.org/officeDocument/2006/relationships/hyperlink" Target="https://boxd.it/UlXY" TargetMode="External"/><Relationship Id="rId29" Type="http://schemas.openxmlformats.org/officeDocument/2006/relationships/hyperlink" Target="https://letterboxd.com/film/the-assassins-2026/" TargetMode="External"/><Relationship Id="rId11" Type="http://schemas.openxmlformats.org/officeDocument/2006/relationships/hyperlink" Target="https://boxd.it/15fds" TargetMode="External"/><Relationship Id="rId10" Type="http://schemas.openxmlformats.org/officeDocument/2006/relationships/hyperlink" Target="https://boxd.it/HOdk" TargetMode="External"/><Relationship Id="rId13" Type="http://schemas.openxmlformats.org/officeDocument/2006/relationships/hyperlink" Target="https://boxd.it/13fZW" TargetMode="External"/><Relationship Id="rId12" Type="http://schemas.openxmlformats.org/officeDocument/2006/relationships/hyperlink" Target="https://boxd.it/TcSy" TargetMode="External"/><Relationship Id="rId15" Type="http://schemas.openxmlformats.org/officeDocument/2006/relationships/hyperlink" Target="https://boxd.it/TCSY" TargetMode="External"/><Relationship Id="rId198" Type="http://schemas.openxmlformats.org/officeDocument/2006/relationships/hyperlink" Target="https://letterboxd.com/film/verao-da-lata/" TargetMode="External"/><Relationship Id="rId14" Type="http://schemas.openxmlformats.org/officeDocument/2006/relationships/hyperlink" Target="https://boxd.it/159U6" TargetMode="External"/><Relationship Id="rId197" Type="http://schemas.openxmlformats.org/officeDocument/2006/relationships/hyperlink" Target="https://letterboxd.com/film/uma-missa-para-dom-angelico/" TargetMode="External"/><Relationship Id="rId17" Type="http://schemas.openxmlformats.org/officeDocument/2006/relationships/hyperlink" Target="https://boxd.it/DYn2" TargetMode="External"/><Relationship Id="rId196" Type="http://schemas.openxmlformats.org/officeDocument/2006/relationships/hyperlink" Target="https://letterboxd.com/film/tarantinos-mind/" TargetMode="External"/><Relationship Id="rId16" Type="http://schemas.openxmlformats.org/officeDocument/2006/relationships/hyperlink" Target="https://boxd.it/Og8k" TargetMode="External"/><Relationship Id="rId195" Type="http://schemas.openxmlformats.org/officeDocument/2006/relationships/hyperlink" Target="https://letterboxd.com/film/retete/" TargetMode="External"/><Relationship Id="rId19" Type="http://schemas.openxmlformats.org/officeDocument/2006/relationships/hyperlink" Target="https://boxd.it/Jd66" TargetMode="External"/><Relationship Id="rId18" Type="http://schemas.openxmlformats.org/officeDocument/2006/relationships/hyperlink" Target="https://boxd.it/Nyto" TargetMode="External"/><Relationship Id="rId199" Type="http://schemas.openxmlformats.org/officeDocument/2006/relationships/hyperlink" Target="https://letterboxd.com/film/vicentina-pede-desculpas/" TargetMode="External"/><Relationship Id="rId84" Type="http://schemas.openxmlformats.org/officeDocument/2006/relationships/hyperlink" Target="https://letterboxd.com/film/roya-2026/" TargetMode="External"/><Relationship Id="rId83" Type="http://schemas.openxmlformats.org/officeDocument/2006/relationships/hyperlink" Target="https://letterboxd.com/film/dear-ajayi/" TargetMode="External"/><Relationship Id="rId86" Type="http://schemas.openxmlformats.org/officeDocument/2006/relationships/hyperlink" Target="https://letterboxd.com/film/if-i-go-will-they-miss-me/" TargetMode="External"/><Relationship Id="rId85" Type="http://schemas.openxmlformats.org/officeDocument/2006/relationships/hyperlink" Target="https://letterboxd.com/film/santo-antonio-o-casamenteiro-de-lisboa/" TargetMode="External"/><Relationship Id="rId88" Type="http://schemas.openxmlformats.org/officeDocument/2006/relationships/hyperlink" Target="https://letterboxd.com/film/transit-times/" TargetMode="External"/><Relationship Id="rId150" Type="http://schemas.openxmlformats.org/officeDocument/2006/relationships/hyperlink" Target="https://letterboxd.com/film/hope-2026/" TargetMode="External"/><Relationship Id="rId87" Type="http://schemas.openxmlformats.org/officeDocument/2006/relationships/hyperlink" Target="https://letterboxd.com/film/serpenti/" TargetMode="External"/><Relationship Id="rId89" Type="http://schemas.openxmlformats.org/officeDocument/2006/relationships/hyperlink" Target="https://letterboxd.com/film/a-fading-man/" TargetMode="External"/><Relationship Id="rId80" Type="http://schemas.openxmlformats.org/officeDocument/2006/relationships/hyperlink" Target="https://letterboxd.com/film/heartworm-2026/" TargetMode="External"/><Relationship Id="rId82" Type="http://schemas.openxmlformats.org/officeDocument/2006/relationships/hyperlink" Target="https://letterboxd.com/film/where-to-2026/" TargetMode="External"/><Relationship Id="rId81" Type="http://schemas.openxmlformats.org/officeDocument/2006/relationships/hyperlink" Target="https://letterboxd.com/film/vesna-2026/" TargetMode="External"/><Relationship Id="rId1" Type="http://schemas.openxmlformats.org/officeDocument/2006/relationships/hyperlink" Target="https://boxd.it/Rw9k" TargetMode="External"/><Relationship Id="rId2" Type="http://schemas.openxmlformats.org/officeDocument/2006/relationships/hyperlink" Target="https://boxd.it/Zo9i" TargetMode="External"/><Relationship Id="rId3" Type="http://schemas.openxmlformats.org/officeDocument/2006/relationships/hyperlink" Target="https://boxd.it/W19e" TargetMode="External"/><Relationship Id="rId149" Type="http://schemas.openxmlformats.org/officeDocument/2006/relationships/hyperlink" Target="https://letterboxd.com/film/three-paths-to-the-lake/" TargetMode="External"/><Relationship Id="rId4" Type="http://schemas.openxmlformats.org/officeDocument/2006/relationships/hyperlink" Target="https://boxd.it/VBPy" TargetMode="External"/><Relationship Id="rId148" Type="http://schemas.openxmlformats.org/officeDocument/2006/relationships/hyperlink" Target="https://letterboxd.com/film/the-story-of-film-an-odyssey/" TargetMode="External"/><Relationship Id="rId9" Type="http://schemas.openxmlformats.org/officeDocument/2006/relationships/hyperlink" Target="https://boxd.it/15fbc" TargetMode="External"/><Relationship Id="rId143" Type="http://schemas.openxmlformats.org/officeDocument/2006/relationships/hyperlink" Target="https://letterboxd.com/film/room-666/" TargetMode="External"/><Relationship Id="rId142" Type="http://schemas.openxmlformats.org/officeDocument/2006/relationships/hyperlink" Target="https://letterboxd.com/film/same-player-shoots-again/" TargetMode="External"/><Relationship Id="rId141" Type="http://schemas.openxmlformats.org/officeDocument/2006/relationships/hyperlink" Target="https://letterboxd.com/film/it-is-not-the-homosexual-who-is-perverse-but-the-society-in-which-he-lives/" TargetMode="External"/><Relationship Id="rId140" Type="http://schemas.openxmlformats.org/officeDocument/2006/relationships/hyperlink" Target="https://letterboxd.com/film/mysterious-skin/" TargetMode="External"/><Relationship Id="rId5" Type="http://schemas.openxmlformats.org/officeDocument/2006/relationships/hyperlink" Target="https://boxd.it/MK5w" TargetMode="External"/><Relationship Id="rId147" Type="http://schemas.openxmlformats.org/officeDocument/2006/relationships/hyperlink" Target="https://letterboxd.com/film/the-story-of-film-an-odyssey/" TargetMode="External"/><Relationship Id="rId6" Type="http://schemas.openxmlformats.org/officeDocument/2006/relationships/hyperlink" Target="https://boxd.it/ST8Q" TargetMode="External"/><Relationship Id="rId146" Type="http://schemas.openxmlformats.org/officeDocument/2006/relationships/hyperlink" Target="https://letterboxd.com/film/the-story-of-film-an-odyssey/" TargetMode="External"/><Relationship Id="rId7" Type="http://schemas.openxmlformats.org/officeDocument/2006/relationships/hyperlink" Target="https://boxd.it/Odiw" TargetMode="External"/><Relationship Id="rId145" Type="http://schemas.openxmlformats.org/officeDocument/2006/relationships/hyperlink" Target="https://letterboxd.com/film/survival-in-new-york/" TargetMode="External"/><Relationship Id="rId8" Type="http://schemas.openxmlformats.org/officeDocument/2006/relationships/hyperlink" Target="https://boxd.it/xG0M" TargetMode="External"/><Relationship Id="rId144" Type="http://schemas.openxmlformats.org/officeDocument/2006/relationships/hyperlink" Target="https://letterboxd.com/film/silver-city-revisited/" TargetMode="External"/><Relationship Id="rId73" Type="http://schemas.openxmlformats.org/officeDocument/2006/relationships/hyperlink" Target="https://letterboxd.com/film/truly-naked/" TargetMode="External"/><Relationship Id="rId72" Type="http://schemas.openxmlformats.org/officeDocument/2006/relationships/hyperlink" Target="https://letterboxd.com/film/uhlanjululo/" TargetMode="External"/><Relationship Id="rId75" Type="http://schemas.openxmlformats.org/officeDocument/2006/relationships/hyperlink" Target="https://letterboxd.com/film/the-mad-dog-of-europe/" TargetMode="External"/><Relationship Id="rId74" Type="http://schemas.openxmlformats.org/officeDocument/2006/relationships/hyperlink" Target="https://letterboxd.com/film/marie-madeleine/" TargetMode="External"/><Relationship Id="rId77" Type="http://schemas.openxmlformats.org/officeDocument/2006/relationships/hyperlink" Target="https://letterboxd.com/film/laffaire-marie-claire/" TargetMode="External"/><Relationship Id="rId76" Type="http://schemas.openxmlformats.org/officeDocument/2006/relationships/hyperlink" Target="https://letterboxd.com/film/cinlerin-dugunu/" TargetMode="External"/><Relationship Id="rId79" Type="http://schemas.openxmlformats.org/officeDocument/2006/relationships/hyperlink" Target="https://letterboxd.com/film/paradise-2026/" TargetMode="External"/><Relationship Id="rId78" Type="http://schemas.openxmlformats.org/officeDocument/2006/relationships/hyperlink" Target="https://letterboxd.com/film/the-end-of-it/" TargetMode="External"/><Relationship Id="rId71" Type="http://schemas.openxmlformats.org/officeDocument/2006/relationships/hyperlink" Target="https://letterboxd.com/film/lali/" TargetMode="External"/><Relationship Id="rId70" Type="http://schemas.openxmlformats.org/officeDocument/2006/relationships/hyperlink" Target="https://letterboxd.com/film/lady-2026/" TargetMode="External"/><Relationship Id="rId139" Type="http://schemas.openxmlformats.org/officeDocument/2006/relationships/hyperlink" Target="https://letterboxd.com/film/lemmings-part-2-injuries/" TargetMode="External"/><Relationship Id="rId138" Type="http://schemas.openxmlformats.org/officeDocument/2006/relationships/hyperlink" Target="https://letterboxd.com/film/lemmings-part-1-arcadia/" TargetMode="External"/><Relationship Id="rId137" Type="http://schemas.openxmlformats.org/officeDocument/2006/relationships/hyperlink" Target="https://letterboxd.com/film/desert-hearts/" TargetMode="External"/><Relationship Id="rId132" Type="http://schemas.openxmlformats.org/officeDocument/2006/relationships/hyperlink" Target="https://letterboxd.com/film/the-story-of-film-an-odyssey/" TargetMode="External"/><Relationship Id="rId131" Type="http://schemas.openxmlformats.org/officeDocument/2006/relationships/hyperlink" Target="https://letterboxd.com/film/the-story-of-film-an-odyssey/" TargetMode="External"/><Relationship Id="rId130" Type="http://schemas.openxmlformats.org/officeDocument/2006/relationships/hyperlink" Target="https://letterboxd.com/film/the-story-of-film-an-odyssey/" TargetMode="External"/><Relationship Id="rId136" Type="http://schemas.openxmlformats.org/officeDocument/2006/relationships/hyperlink" Target="https://letterboxd.com/film/city-of-lost-souls/" TargetMode="External"/><Relationship Id="rId135" Type="http://schemas.openxmlformats.org/officeDocument/2006/relationships/hyperlink" Target="https://letterboxd.com/film/the-story-of-film-an-odyssey/" TargetMode="External"/><Relationship Id="rId134" Type="http://schemas.openxmlformats.org/officeDocument/2006/relationships/hyperlink" Target="https://letterboxd.com/film/the-story-of-film-an-odyssey/" TargetMode="External"/><Relationship Id="rId133" Type="http://schemas.openxmlformats.org/officeDocument/2006/relationships/hyperlink" Target="https://letterboxd.com/film/the-story-of-film-a-new-generation/" TargetMode="External"/><Relationship Id="rId62" Type="http://schemas.openxmlformats.org/officeDocument/2006/relationships/hyperlink" Target="https://letterboxd.com/film/chica-checa/" TargetMode="External"/><Relationship Id="rId61" Type="http://schemas.openxmlformats.org/officeDocument/2006/relationships/hyperlink" Target="https://letterboxd.com/film/benimana/" TargetMode="External"/><Relationship Id="rId64" Type="http://schemas.openxmlformats.org/officeDocument/2006/relationships/hyperlink" Target="https://letterboxd.com/film/elephants-in-the-fog/" TargetMode="External"/><Relationship Id="rId63" Type="http://schemas.openxmlformats.org/officeDocument/2006/relationships/hyperlink" Target="https://letterboxd.com/film/congo-boy/" TargetMode="External"/><Relationship Id="rId66" Type="http://schemas.openxmlformats.org/officeDocument/2006/relationships/hyperlink" Target="https://letterboxd.com/film/furies-2026/" TargetMode="External"/><Relationship Id="rId172" Type="http://schemas.openxmlformats.org/officeDocument/2006/relationships/hyperlink" Target="https://letterboxd.com/film/feito-pipa/" TargetMode="External"/><Relationship Id="rId65" Type="http://schemas.openxmlformats.org/officeDocument/2006/relationships/hyperlink" Target="https://letterboxd.com/film/animol/" TargetMode="External"/><Relationship Id="rId171" Type="http://schemas.openxmlformats.org/officeDocument/2006/relationships/hyperlink" Target="https://letterboxd.com/film/esperanca/" TargetMode="External"/><Relationship Id="rId68" Type="http://schemas.openxmlformats.org/officeDocument/2006/relationships/hyperlink" Target="https://letterboxd.com/film/identitti/" TargetMode="External"/><Relationship Id="rId170" Type="http://schemas.openxmlformats.org/officeDocument/2006/relationships/hyperlink" Target="https://letterboxd.com/film/elza/" TargetMode="External"/><Relationship Id="rId67" Type="http://schemas.openxmlformats.org/officeDocument/2006/relationships/hyperlink" Target="https://letterboxd.com/film/guo-ran/" TargetMode="External"/><Relationship Id="rId60" Type="http://schemas.openxmlformats.org/officeDocument/2006/relationships/hyperlink" Target="https://letterboxd.com/film/allegro-pastell/" TargetMode="External"/><Relationship Id="rId165" Type="http://schemas.openxmlformats.org/officeDocument/2006/relationships/hyperlink" Target="https://letterboxd.com/film/unknown-author/" TargetMode="External"/><Relationship Id="rId69" Type="http://schemas.openxmlformats.org/officeDocument/2006/relationships/hyperlink" Target="https://letterboxd.com/film/ivan-hadoum/" TargetMode="External"/><Relationship Id="rId164" Type="http://schemas.openxmlformats.org/officeDocument/2006/relationships/hyperlink" Target="https://letterboxd.com/film/amora/" TargetMode="External"/><Relationship Id="rId163" Type="http://schemas.openxmlformats.org/officeDocument/2006/relationships/hyperlink" Target="https://letterboxd.com/film/amor-e-fe-chica-xavier/" TargetMode="External"/><Relationship Id="rId162" Type="http://schemas.openxmlformats.org/officeDocument/2006/relationships/hyperlink" Target="https://letterboxd.com/film/amadeo-e-o-hipotetico-mundo-novo/" TargetMode="External"/><Relationship Id="rId169" Type="http://schemas.openxmlformats.org/officeDocument/2006/relationships/hyperlink" Target="https://letterboxd.com/film/dragoes/" TargetMode="External"/><Relationship Id="rId168" Type="http://schemas.openxmlformats.org/officeDocument/2006/relationships/hyperlink" Target="https://letterboxd.com/film/consolo/" TargetMode="External"/><Relationship Id="rId167" Type="http://schemas.openxmlformats.org/officeDocument/2006/relationships/hyperlink" Target="https://letterboxd.com/film/chuva-acida-historias-do-crepusculo-de-cubatao/" TargetMode="External"/><Relationship Id="rId166" Type="http://schemas.openxmlformats.org/officeDocument/2006/relationships/hyperlink" Target="https://letterboxd.com/film/baile-das-luzes/" TargetMode="External"/><Relationship Id="rId51" Type="http://schemas.openxmlformats.org/officeDocument/2006/relationships/hyperlink" Target="https://letterboxd.com/film/a-long-winter-2026/" TargetMode="External"/><Relationship Id="rId50" Type="http://schemas.openxmlformats.org/officeDocument/2006/relationships/hyperlink" Target="https://letterboxd.com/film/notre-salut/" TargetMode="External"/><Relationship Id="rId53" Type="http://schemas.openxmlformats.org/officeDocument/2006/relationships/hyperlink" Target="https://letterboxd.com/film/un-bon-petit-soldat/" TargetMode="External"/><Relationship Id="rId52" Type="http://schemas.openxmlformats.org/officeDocument/2006/relationships/hyperlink" Target="https://letterboxd.com/film/15-18/" TargetMode="External"/><Relationship Id="rId55" Type="http://schemas.openxmlformats.org/officeDocument/2006/relationships/hyperlink" Target="https://letterboxd.com/film/your-mother-your-mother-your-mother/" TargetMode="External"/><Relationship Id="rId161" Type="http://schemas.openxmlformats.org/officeDocument/2006/relationships/hyperlink" Target="https://letterboxd.com/film/a-professora-de-frances/" TargetMode="External"/><Relationship Id="rId54" Type="http://schemas.openxmlformats.org/officeDocument/2006/relationships/hyperlink" Target="https://letterboxd.com/film/le-vertige/" TargetMode="External"/><Relationship Id="rId160" Type="http://schemas.openxmlformats.org/officeDocument/2006/relationships/hyperlink" Target="https://letterboxd.com/film/3x4/" TargetMode="External"/><Relationship Id="rId57" Type="http://schemas.openxmlformats.org/officeDocument/2006/relationships/hyperlink" Target="https://letterboxd.com/film/the-education-of-jane-cumming/" TargetMode="External"/><Relationship Id="rId56" Type="http://schemas.openxmlformats.org/officeDocument/2006/relationships/hyperlink" Target="https://letterboxd.com/film/3-weeks-after/" TargetMode="External"/><Relationship Id="rId159" Type="http://schemas.openxmlformats.org/officeDocument/2006/relationships/hyperlink" Target="https://letterboxd.com/film/one-in-a-million-2026/" TargetMode="External"/><Relationship Id="rId59" Type="http://schemas.openxmlformats.org/officeDocument/2006/relationships/hyperlink" Target="https://letterboxd.com/film/bearcave/" TargetMode="External"/><Relationship Id="rId154" Type="http://schemas.openxmlformats.org/officeDocument/2006/relationships/hyperlink" Target="https://letterboxd.com/film/arrested-memory/" TargetMode="External"/><Relationship Id="rId58" Type="http://schemas.openxmlformats.org/officeDocument/2006/relationships/hyperlink" Target="https://letterboxd.com/film/la-gradiva/" TargetMode="External"/><Relationship Id="rId153" Type="http://schemas.openxmlformats.org/officeDocument/2006/relationships/hyperlink" Target="https://letterboxd.com/film/mum-im-alien-pregnant/" TargetMode="External"/><Relationship Id="rId152" Type="http://schemas.openxmlformats.org/officeDocument/2006/relationships/hyperlink" Target="https://letterboxd.com/film/leviticus-2026/" TargetMode="External"/><Relationship Id="rId151" Type="http://schemas.openxmlformats.org/officeDocument/2006/relationships/hyperlink" Target="https://letterboxd.com/film/jim-queen/" TargetMode="External"/><Relationship Id="rId158" Type="http://schemas.openxmlformats.org/officeDocument/2006/relationships/hyperlink" Target="https://letterboxd.com/film/traces-2026/" TargetMode="External"/><Relationship Id="rId157" Type="http://schemas.openxmlformats.org/officeDocument/2006/relationships/hyperlink" Target="https://letterboxd.com/film/what-comes-from-sitting-in-silence/" TargetMode="External"/><Relationship Id="rId156" Type="http://schemas.openxmlformats.org/officeDocument/2006/relationships/hyperlink" Target="https://letterboxd.com/film/bucks-harbor/" TargetMode="External"/><Relationship Id="rId155" Type="http://schemas.openxmlformats.org/officeDocument/2006/relationships/hyperlink" Target="https://letterboxd.com/film/her-private-hell-2026/" TargetMode="External"/><Relationship Id="rId107" Type="http://schemas.openxmlformats.org/officeDocument/2006/relationships/hyperlink" Target="https://letterboxd.com/film/siri-hustvedt-dance-around-the-self/" TargetMode="External"/><Relationship Id="rId106" Type="http://schemas.openxmlformats.org/officeDocument/2006/relationships/hyperlink" Target="https://letterboxd.com/film/making-marie-antoinette/" TargetMode="External"/><Relationship Id="rId105" Type="http://schemas.openxmlformats.org/officeDocument/2006/relationships/hyperlink" Target="https://letterboxd.com/film/knife-the-attempted-murder-of-salman-rushdie/" TargetMode="External"/><Relationship Id="rId104" Type="http://schemas.openxmlformats.org/officeDocument/2006/relationships/hyperlink" Target="https://letterboxd.com/film/douglas-gordon-by-douglas-gordon/" TargetMode="External"/><Relationship Id="rId109" Type="http://schemas.openxmlformats.org/officeDocument/2006/relationships/hyperlink" Target="https://letterboxd.com/film/as-dores-do-mundo-hyldon/" TargetMode="External"/><Relationship Id="rId108" Type="http://schemas.openxmlformats.org/officeDocument/2006/relationships/hyperlink" Target="https://letterboxd.com/film/tutu-2026/" TargetMode="External"/><Relationship Id="rId103" Type="http://schemas.openxmlformats.org/officeDocument/2006/relationships/hyperlink" Target="https://letterboxd.com/film/the-disciple-2026/" TargetMode="External"/><Relationship Id="rId102" Type="http://schemas.openxmlformats.org/officeDocument/2006/relationships/hyperlink" Target="https://letterboxd.com/film/barbara-forever/" TargetMode="External"/><Relationship Id="rId101" Type="http://schemas.openxmlformats.org/officeDocument/2006/relationships/hyperlink" Target="https://letterboxd.com/film/bajani/" TargetMode="External"/><Relationship Id="rId100" Type="http://schemas.openxmlformats.org/officeDocument/2006/relationships/hyperlink" Target="https://letterboxd.com/film/amilcar/" TargetMode="External"/><Relationship Id="rId129" Type="http://schemas.openxmlformats.org/officeDocument/2006/relationships/hyperlink" Target="https://letterboxd.com/film/reverse-angle/" TargetMode="External"/><Relationship Id="rId128" Type="http://schemas.openxmlformats.org/officeDocument/2006/relationships/hyperlink" Target="https://letterboxd.com/film/tough-love-2015/" TargetMode="External"/><Relationship Id="rId127" Type="http://schemas.openxmlformats.org/officeDocument/2006/relationships/hyperlink" Target="https://letterboxd.com/film/the-visit-1964/" TargetMode="External"/><Relationship Id="rId126" Type="http://schemas.openxmlformats.org/officeDocument/2006/relationships/hyperlink" Target="https://letterboxd.com/film/the-rebellion/" TargetMode="External"/><Relationship Id="rId121" Type="http://schemas.openxmlformats.org/officeDocument/2006/relationships/hyperlink" Target="https://letterboxd.com/film/um-tio-quase-perfeito-2/" TargetMode="External"/><Relationship Id="rId120" Type="http://schemas.openxmlformats.org/officeDocument/2006/relationships/hyperlink" Target="https://letterboxd.com/film/torre-das-donzelas/" TargetMode="External"/><Relationship Id="rId125" Type="http://schemas.openxmlformats.org/officeDocument/2006/relationships/hyperlink" Target="https://letterboxd.com/film/the-swimming-pool/" TargetMode="External"/><Relationship Id="rId124" Type="http://schemas.openxmlformats.org/officeDocument/2006/relationships/hyperlink" Target="https://letterboxd.com/film/die-bettwurst/" TargetMode="External"/><Relationship Id="rId123" Type="http://schemas.openxmlformats.org/officeDocument/2006/relationships/hyperlink" Target="https://letterboxd.com/film/vitoria-2025/" TargetMode="External"/><Relationship Id="rId122" Type="http://schemas.openxmlformats.org/officeDocument/2006/relationships/hyperlink" Target="https://letterboxd.com/film/velhos-bandidos/" TargetMode="External"/><Relationship Id="rId95" Type="http://schemas.openxmlformats.org/officeDocument/2006/relationships/hyperlink" Target="https://letterboxd.com/film/matapanki/" TargetMode="External"/><Relationship Id="rId94" Type="http://schemas.openxmlformats.org/officeDocument/2006/relationships/hyperlink" Target="https://letterboxd.com/film/la-perra/" TargetMode="External"/><Relationship Id="rId97" Type="http://schemas.openxmlformats.org/officeDocument/2006/relationships/hyperlink" Target="https://letterboxd.com/film/el-partido-2026/" TargetMode="External"/><Relationship Id="rId96" Type="http://schemas.openxmlformats.org/officeDocument/2006/relationships/hyperlink" Target="https://letterboxd.com/film/el-deshielo/" TargetMode="External"/><Relationship Id="rId99" Type="http://schemas.openxmlformats.org/officeDocument/2006/relationships/hyperlink" Target="https://letterboxd.com/film/soy-mario/" TargetMode="External"/><Relationship Id="rId98" Type="http://schemas.openxmlformats.org/officeDocument/2006/relationships/hyperlink" Target="https://letterboxd.com/film/narciso-2026/" TargetMode="External"/><Relationship Id="rId91" Type="http://schemas.openxmlformats.org/officeDocument/2006/relationships/hyperlink" Target="https://letterboxd.com/film/ill-be-gone-in-june/" TargetMode="External"/><Relationship Id="rId90" Type="http://schemas.openxmlformats.org/officeDocument/2006/relationships/hyperlink" Target="https://letterboxd.com/film/a-happy-family-2026/" TargetMode="External"/><Relationship Id="rId93" Type="http://schemas.openxmlformats.org/officeDocument/2006/relationships/hyperlink" Target="https://letterboxd.com/film/jaripeo/" TargetMode="External"/><Relationship Id="rId92" Type="http://schemas.openxmlformats.org/officeDocument/2006/relationships/hyperlink" Target="https://letterboxd.com/film/glaxo/" TargetMode="External"/><Relationship Id="rId118" Type="http://schemas.openxmlformats.org/officeDocument/2006/relationships/hyperlink" Target="https://letterboxd.com/film/salverosa/" TargetMode="External"/><Relationship Id="rId117" Type="http://schemas.openxmlformats.org/officeDocument/2006/relationships/hyperlink" Target="https://letterboxd.com/film/rio-de-clarice/" TargetMode="External"/><Relationship Id="rId116" Type="http://schemas.openxmlformats.org/officeDocument/2006/relationships/hyperlink" Target="https://letterboxd.com/film/quinze-dias/" TargetMode="External"/><Relationship Id="rId115" Type="http://schemas.openxmlformats.org/officeDocument/2006/relationships/hyperlink" Target="https://letterboxd.com/film/mussum-o-filmis/" TargetMode="External"/><Relationship Id="rId119" Type="http://schemas.openxmlformats.org/officeDocument/2006/relationships/hyperlink" Target="https://letterboxd.com/film/sexa/" TargetMode="External"/><Relationship Id="rId110" Type="http://schemas.openxmlformats.org/officeDocument/2006/relationships/hyperlink" Target="https://letterboxd.com/film/homem-com-h/" TargetMode="External"/><Relationship Id="rId114" Type="http://schemas.openxmlformats.org/officeDocument/2006/relationships/hyperlink" Target="https://letterboxd.com/film/milton-bituca-nascimento/" TargetMode="External"/><Relationship Id="rId113" Type="http://schemas.openxmlformats.org/officeDocument/2006/relationships/hyperlink" Target="https://letterboxd.com/film/manas-2024/" TargetMode="External"/><Relationship Id="rId112" Type="http://schemas.openxmlformats.org/officeDocument/2006/relationships/hyperlink" Target="https://letterboxd.com/film/malu-2024/" TargetMode="External"/><Relationship Id="rId111" Type="http://schemas.openxmlformats.org/officeDocument/2006/relationships/hyperlink" Target="https://letterboxd.com/film/love-kills-2024/" TargetMode="External"/><Relationship Id="rId203" Type="http://schemas.openxmlformats.org/officeDocument/2006/relationships/drawing" Target="../drawings/drawing1.xml"/><Relationship Id="rId202" Type="http://schemas.openxmlformats.org/officeDocument/2006/relationships/hyperlink" Target="https://letterboxd.com/film/club-kid/" TargetMode="External"/><Relationship Id="rId201" Type="http://schemas.openxmlformats.org/officeDocument/2006/relationships/hyperlink" Target="https://letterboxd.com/film/la-bola-negra/" TargetMode="External"/><Relationship Id="rId200" Type="http://schemas.openxmlformats.org/officeDocument/2006/relationships/hyperlink" Target="https://letterboxd.com/film/vivo-7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4.0"/>
    <col customWidth="1" min="3" max="4" width="34.0"/>
    <col customWidth="1" min="5" max="5" width="28.0"/>
    <col customWidth="1" min="6" max="6" width="22.0"/>
    <col customWidth="1" min="7" max="7" width="24.0"/>
    <col customWidth="1" min="8" max="8" width="18.0"/>
    <col customWidth="1" min="9" max="9" width="14.0"/>
    <col customWidth="1" min="10" max="10" width="24.0"/>
    <col customWidth="1" min="11" max="12" width="28.0"/>
    <col customWidth="1" min="13" max="16" width="26.0"/>
    <col customWidth="1" min="17" max="18" width="28.0"/>
    <col customWidth="1" min="19" max="19" width="30.0"/>
    <col customWidth="1" min="20" max="20" width="26.0"/>
    <col customWidth="1" min="21" max="22" width="24.0"/>
    <col customWidth="1" min="23" max="23" width="38.0"/>
    <col customWidth="1" min="24" max="24" width="62.0"/>
    <col customWidth="1" min="25" max="25" width="70.0"/>
    <col customWidth="1" min="26" max="27" width="12.0"/>
    <col customWidth="1" min="28" max="28" width="28.0"/>
  </cols>
  <sheetData>
    <row r="1">
      <c r="A1" s="1" t="s">
        <v>0</v>
      </c>
      <c r="B1" s="2" t="s">
        <v>1</v>
      </c>
      <c r="C1" s="1" t="s">
        <v>2</v>
      </c>
      <c r="D1" s="2" t="s">
        <v>3</v>
      </c>
      <c r="E1" s="2" t="s">
        <v>4</v>
      </c>
      <c r="F1" s="2" t="s">
        <v>5</v>
      </c>
      <c r="G1" s="2" t="s">
        <v>6</v>
      </c>
      <c r="H1" s="2" t="s">
        <v>7</v>
      </c>
      <c r="I1" s="2" t="s">
        <v>8</v>
      </c>
      <c r="J1" s="1" t="s">
        <v>9</v>
      </c>
      <c r="K1" s="1" t="s">
        <v>10</v>
      </c>
      <c r="L1" s="2"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3" t="s">
        <v>9</v>
      </c>
      <c r="AB1" s="3" t="s">
        <v>26</v>
      </c>
    </row>
    <row r="2">
      <c r="A2" s="4" t="s">
        <v>27</v>
      </c>
      <c r="B2" s="5" t="s">
        <v>28</v>
      </c>
      <c r="C2" s="6" t="s">
        <v>29</v>
      </c>
      <c r="D2" s="7" t="s">
        <v>30</v>
      </c>
      <c r="E2" s="5" t="s">
        <v>31</v>
      </c>
      <c r="F2" s="5" t="s">
        <v>32</v>
      </c>
      <c r="G2" s="5" t="s">
        <v>33</v>
      </c>
      <c r="H2" s="5" t="s">
        <v>34</v>
      </c>
      <c r="I2" s="8">
        <v>105.0</v>
      </c>
      <c r="J2" s="9" t="s">
        <v>35</v>
      </c>
      <c r="K2" s="5" t="s">
        <v>33</v>
      </c>
      <c r="L2" s="5" t="s">
        <v>34</v>
      </c>
      <c r="M2" s="5"/>
      <c r="N2" s="5"/>
      <c r="O2" s="5"/>
      <c r="P2" s="5" t="s">
        <v>36</v>
      </c>
      <c r="Q2" s="5" t="s">
        <v>36</v>
      </c>
      <c r="R2" s="5" t="s">
        <v>37</v>
      </c>
      <c r="S2" s="5" t="s">
        <v>38</v>
      </c>
      <c r="T2" s="5" t="s">
        <v>39</v>
      </c>
      <c r="U2" s="5" t="s">
        <v>40</v>
      </c>
      <c r="V2" s="5" t="s">
        <v>41</v>
      </c>
      <c r="W2" s="5" t="s">
        <v>42</v>
      </c>
      <c r="X2" s="5" t="s">
        <v>43</v>
      </c>
      <c r="Y2" s="5" t="s">
        <v>44</v>
      </c>
      <c r="Z2" s="5">
        <v>3.0</v>
      </c>
      <c r="AA2" s="5">
        <v>2026.0</v>
      </c>
      <c r="AB2" s="5" t="s">
        <v>34</v>
      </c>
    </row>
    <row r="3">
      <c r="A3" s="4" t="s">
        <v>45</v>
      </c>
      <c r="B3" s="5" t="s">
        <v>28</v>
      </c>
      <c r="C3" s="6" t="s">
        <v>46</v>
      </c>
      <c r="D3" s="7" t="s">
        <v>47</v>
      </c>
      <c r="E3" s="5" t="s">
        <v>48</v>
      </c>
      <c r="F3" s="5" t="s">
        <v>32</v>
      </c>
      <c r="G3" s="5" t="s">
        <v>49</v>
      </c>
      <c r="H3" s="5" t="s">
        <v>34</v>
      </c>
      <c r="I3" s="8">
        <v>87.0</v>
      </c>
      <c r="J3" s="9" t="s">
        <v>35</v>
      </c>
      <c r="K3" s="5" t="s">
        <v>50</v>
      </c>
      <c r="L3" s="5" t="s">
        <v>34</v>
      </c>
      <c r="M3" s="5"/>
      <c r="N3" s="5"/>
      <c r="O3" s="5"/>
      <c r="P3" s="5" t="s">
        <v>51</v>
      </c>
      <c r="Q3" s="5" t="s">
        <v>51</v>
      </c>
      <c r="R3" s="5" t="s">
        <v>52</v>
      </c>
      <c r="S3" s="5" t="s">
        <v>53</v>
      </c>
      <c r="T3" s="5" t="s">
        <v>54</v>
      </c>
      <c r="U3" s="5" t="s">
        <v>55</v>
      </c>
      <c r="V3" s="5" t="s">
        <v>56</v>
      </c>
      <c r="W3" s="5" t="s">
        <v>57</v>
      </c>
      <c r="X3" s="5" t="s">
        <v>58</v>
      </c>
      <c r="Y3" s="5" t="s">
        <v>59</v>
      </c>
      <c r="Z3" s="5">
        <v>3.0</v>
      </c>
      <c r="AA3" s="5">
        <v>2026.0</v>
      </c>
      <c r="AB3" s="5" t="s">
        <v>34</v>
      </c>
    </row>
    <row r="4">
      <c r="A4" s="4" t="s">
        <v>60</v>
      </c>
      <c r="B4" s="5" t="s">
        <v>28</v>
      </c>
      <c r="C4" s="6" t="s">
        <v>61</v>
      </c>
      <c r="D4" s="7" t="s">
        <v>62</v>
      </c>
      <c r="E4" s="5" t="s">
        <v>63</v>
      </c>
      <c r="F4" s="5" t="s">
        <v>32</v>
      </c>
      <c r="G4" s="5" t="s">
        <v>64</v>
      </c>
      <c r="H4" s="5" t="s">
        <v>34</v>
      </c>
      <c r="I4" s="8">
        <v>90.0</v>
      </c>
      <c r="J4" s="9" t="s">
        <v>35</v>
      </c>
      <c r="K4" s="5" t="s">
        <v>64</v>
      </c>
      <c r="L4" s="5" t="s">
        <v>34</v>
      </c>
      <c r="M4" s="10" t="s">
        <v>65</v>
      </c>
      <c r="N4" s="10" t="s">
        <v>66</v>
      </c>
      <c r="O4" s="10" t="s">
        <v>67</v>
      </c>
      <c r="P4" s="5" t="s">
        <v>68</v>
      </c>
      <c r="Q4" s="5" t="s">
        <v>69</v>
      </c>
      <c r="R4" s="5" t="s">
        <v>70</v>
      </c>
      <c r="S4" s="5" t="s">
        <v>71</v>
      </c>
      <c r="T4" s="5" t="s">
        <v>72</v>
      </c>
      <c r="U4" s="5" t="s">
        <v>73</v>
      </c>
      <c r="V4" s="5" t="s">
        <v>74</v>
      </c>
      <c r="W4" s="5" t="s">
        <v>75</v>
      </c>
      <c r="X4" s="5" t="s">
        <v>76</v>
      </c>
      <c r="Y4" s="5" t="s">
        <v>77</v>
      </c>
      <c r="Z4" s="5">
        <v>3.0</v>
      </c>
      <c r="AA4" s="5">
        <v>2026.0</v>
      </c>
      <c r="AB4" s="5" t="s">
        <v>34</v>
      </c>
    </row>
    <row r="5">
      <c r="A5" s="4" t="s">
        <v>78</v>
      </c>
      <c r="B5" s="5" t="s">
        <v>28</v>
      </c>
      <c r="C5" s="6" t="s">
        <v>79</v>
      </c>
      <c r="D5" s="7" t="s">
        <v>80</v>
      </c>
      <c r="E5" s="5"/>
      <c r="F5" s="5" t="s">
        <v>81</v>
      </c>
      <c r="G5" s="5" t="s">
        <v>82</v>
      </c>
      <c r="H5" s="5" t="s">
        <v>83</v>
      </c>
      <c r="I5" s="8">
        <v>95.0</v>
      </c>
      <c r="J5" s="9" t="s">
        <v>35</v>
      </c>
      <c r="K5" s="5" t="s">
        <v>84</v>
      </c>
      <c r="L5" s="5" t="s">
        <v>83</v>
      </c>
      <c r="M5" s="5"/>
      <c r="N5" s="5"/>
      <c r="O5" s="5"/>
      <c r="P5" s="5" t="s">
        <v>85</v>
      </c>
      <c r="Q5" s="5"/>
      <c r="R5" s="5" t="s">
        <v>86</v>
      </c>
      <c r="S5" s="5" t="s">
        <v>87</v>
      </c>
      <c r="T5" s="5" t="s">
        <v>88</v>
      </c>
      <c r="U5" s="5" t="s">
        <v>89</v>
      </c>
      <c r="V5" s="5" t="s">
        <v>90</v>
      </c>
      <c r="W5" s="5" t="s">
        <v>91</v>
      </c>
      <c r="X5" s="5" t="s">
        <v>92</v>
      </c>
      <c r="Y5" s="5" t="s">
        <v>93</v>
      </c>
      <c r="Z5" s="5">
        <v>2.0</v>
      </c>
      <c r="AA5" s="5">
        <v>2026.0</v>
      </c>
      <c r="AB5" s="5" t="s">
        <v>83</v>
      </c>
    </row>
    <row r="6">
      <c r="A6" s="4" t="s">
        <v>94</v>
      </c>
      <c r="B6" s="5" t="s">
        <v>28</v>
      </c>
      <c r="C6" s="6" t="s">
        <v>95</v>
      </c>
      <c r="D6" s="7" t="s">
        <v>96</v>
      </c>
      <c r="E6" s="5" t="s">
        <v>97</v>
      </c>
      <c r="F6" s="5" t="s">
        <v>32</v>
      </c>
      <c r="G6" s="5" t="s">
        <v>64</v>
      </c>
      <c r="H6" s="5" t="s">
        <v>34</v>
      </c>
      <c r="I6" s="8">
        <v>111.0</v>
      </c>
      <c r="J6" s="9" t="s">
        <v>98</v>
      </c>
      <c r="K6" s="5" t="s">
        <v>64</v>
      </c>
      <c r="L6" s="5" t="s">
        <v>34</v>
      </c>
      <c r="M6" s="5"/>
      <c r="N6" s="5"/>
      <c r="O6" s="5"/>
      <c r="P6" s="5" t="s">
        <v>99</v>
      </c>
      <c r="Q6" s="5" t="s">
        <v>99</v>
      </c>
      <c r="R6" s="5" t="s">
        <v>100</v>
      </c>
      <c r="S6" s="5" t="s">
        <v>101</v>
      </c>
      <c r="T6" s="5" t="s">
        <v>102</v>
      </c>
      <c r="U6" s="5" t="s">
        <v>103</v>
      </c>
      <c r="V6" s="5" t="s">
        <v>104</v>
      </c>
      <c r="W6" s="5" t="s">
        <v>105</v>
      </c>
      <c r="X6" s="5" t="s">
        <v>106</v>
      </c>
      <c r="Y6" s="5" t="s">
        <v>107</v>
      </c>
      <c r="Z6" s="5">
        <v>5.0</v>
      </c>
      <c r="AA6" s="5">
        <v>2025.0</v>
      </c>
      <c r="AB6" s="5" t="s">
        <v>34</v>
      </c>
    </row>
    <row r="7">
      <c r="A7" s="4" t="s">
        <v>108</v>
      </c>
      <c r="B7" s="5" t="s">
        <v>28</v>
      </c>
      <c r="C7" s="6" t="s">
        <v>109</v>
      </c>
      <c r="D7" s="7" t="s">
        <v>110</v>
      </c>
      <c r="E7" s="5"/>
      <c r="F7" s="5" t="s">
        <v>81</v>
      </c>
      <c r="G7" s="5" t="s">
        <v>33</v>
      </c>
      <c r="H7" s="5" t="s">
        <v>34</v>
      </c>
      <c r="I7" s="8">
        <v>109.0</v>
      </c>
      <c r="J7" s="9" t="s">
        <v>35</v>
      </c>
      <c r="K7" s="5" t="s">
        <v>33</v>
      </c>
      <c r="L7" s="5" t="s">
        <v>34</v>
      </c>
      <c r="M7" s="10" t="s">
        <v>65</v>
      </c>
      <c r="N7" s="10" t="s">
        <v>111</v>
      </c>
      <c r="O7" s="10" t="s">
        <v>112</v>
      </c>
      <c r="P7" s="5" t="s">
        <v>113</v>
      </c>
      <c r="Q7" s="5" t="s">
        <v>113</v>
      </c>
      <c r="R7" s="5" t="s">
        <v>114</v>
      </c>
      <c r="S7" s="5" t="s">
        <v>115</v>
      </c>
      <c r="T7" s="5" t="s">
        <v>116</v>
      </c>
      <c r="U7" s="5" t="s">
        <v>117</v>
      </c>
      <c r="V7" s="5" t="s">
        <v>118</v>
      </c>
      <c r="W7" s="5" t="s">
        <v>119</v>
      </c>
      <c r="X7" s="5" t="s">
        <v>120</v>
      </c>
      <c r="Y7" s="5" t="s">
        <v>121</v>
      </c>
      <c r="Z7" s="5">
        <v>3.0</v>
      </c>
      <c r="AA7" s="5">
        <v>2026.0</v>
      </c>
      <c r="AB7" s="5" t="s">
        <v>34</v>
      </c>
    </row>
    <row r="8">
      <c r="A8" s="4" t="s">
        <v>122</v>
      </c>
      <c r="B8" s="5" t="s">
        <v>28</v>
      </c>
      <c r="C8" s="6" t="s">
        <v>123</v>
      </c>
      <c r="D8" s="7" t="s">
        <v>124</v>
      </c>
      <c r="E8" s="5" t="s">
        <v>125</v>
      </c>
      <c r="F8" s="5" t="s">
        <v>32</v>
      </c>
      <c r="G8" s="5" t="s">
        <v>126</v>
      </c>
      <c r="H8" s="5" t="s">
        <v>34</v>
      </c>
      <c r="I8" s="8">
        <v>127.0</v>
      </c>
      <c r="J8" s="9" t="s">
        <v>35</v>
      </c>
      <c r="K8" s="5" t="s">
        <v>127</v>
      </c>
      <c r="L8" s="5" t="s">
        <v>34</v>
      </c>
      <c r="M8" s="10" t="s">
        <v>65</v>
      </c>
      <c r="N8" s="10" t="s">
        <v>128</v>
      </c>
      <c r="O8" s="10" t="s">
        <v>129</v>
      </c>
      <c r="P8" s="5" t="s">
        <v>130</v>
      </c>
      <c r="Q8" s="5" t="s">
        <v>131</v>
      </c>
      <c r="R8" s="5" t="s">
        <v>132</v>
      </c>
      <c r="S8" s="5" t="s">
        <v>133</v>
      </c>
      <c r="T8" s="5" t="s">
        <v>134</v>
      </c>
      <c r="U8" s="5" t="s">
        <v>135</v>
      </c>
      <c r="V8" s="5" t="s">
        <v>136</v>
      </c>
      <c r="W8" s="5" t="s">
        <v>137</v>
      </c>
      <c r="X8" s="5" t="s">
        <v>138</v>
      </c>
      <c r="Y8" s="5" t="s">
        <v>139</v>
      </c>
      <c r="Z8" s="5">
        <v>3.0</v>
      </c>
      <c r="AA8" s="5">
        <v>2026.0</v>
      </c>
      <c r="AB8" s="5" t="s">
        <v>34</v>
      </c>
    </row>
    <row r="9">
      <c r="A9" s="4" t="s">
        <v>140</v>
      </c>
      <c r="B9" s="5" t="s">
        <v>28</v>
      </c>
      <c r="C9" s="6" t="s">
        <v>141</v>
      </c>
      <c r="D9" s="7" t="s">
        <v>142</v>
      </c>
      <c r="E9" s="5" t="s">
        <v>143</v>
      </c>
      <c r="F9" s="5" t="s">
        <v>32</v>
      </c>
      <c r="G9" s="5" t="s">
        <v>144</v>
      </c>
      <c r="H9" s="5" t="s">
        <v>34</v>
      </c>
      <c r="I9" s="8">
        <v>116.0</v>
      </c>
      <c r="J9" s="9" t="s">
        <v>35</v>
      </c>
      <c r="K9" s="5" t="s">
        <v>145</v>
      </c>
      <c r="L9" s="5" t="s">
        <v>34</v>
      </c>
      <c r="M9" s="10" t="s">
        <v>65</v>
      </c>
      <c r="N9" s="10" t="s">
        <v>111</v>
      </c>
      <c r="O9" s="10" t="s">
        <v>112</v>
      </c>
      <c r="P9" s="5" t="s">
        <v>146</v>
      </c>
      <c r="Q9" s="5" t="s">
        <v>146</v>
      </c>
      <c r="R9" s="5" t="s">
        <v>147</v>
      </c>
      <c r="S9" s="5" t="s">
        <v>148</v>
      </c>
      <c r="T9" s="5" t="s">
        <v>149</v>
      </c>
      <c r="U9" s="5" t="s">
        <v>150</v>
      </c>
      <c r="V9" s="5" t="s">
        <v>151</v>
      </c>
      <c r="W9" s="5" t="s">
        <v>152</v>
      </c>
      <c r="X9" s="5" t="s">
        <v>153</v>
      </c>
      <c r="Y9" s="5" t="s">
        <v>154</v>
      </c>
      <c r="Z9" s="5">
        <v>5.0</v>
      </c>
      <c r="AA9" s="5">
        <v>2026.0</v>
      </c>
      <c r="AB9" s="5" t="s">
        <v>34</v>
      </c>
    </row>
    <row r="10">
      <c r="A10" s="4" t="s">
        <v>155</v>
      </c>
      <c r="B10" s="5" t="s">
        <v>28</v>
      </c>
      <c r="C10" s="6" t="s">
        <v>156</v>
      </c>
      <c r="D10" s="7" t="s">
        <v>157</v>
      </c>
      <c r="E10" s="5" t="s">
        <v>158</v>
      </c>
      <c r="F10" s="5" t="s">
        <v>32</v>
      </c>
      <c r="G10" s="5" t="s">
        <v>159</v>
      </c>
      <c r="H10" s="5" t="s">
        <v>83</v>
      </c>
      <c r="I10" s="8">
        <v>69.0</v>
      </c>
      <c r="J10" s="9" t="s">
        <v>35</v>
      </c>
      <c r="K10" s="5" t="s">
        <v>160</v>
      </c>
      <c r="L10" s="5" t="s">
        <v>83</v>
      </c>
      <c r="M10" s="5"/>
      <c r="N10" s="5"/>
      <c r="O10" s="5"/>
      <c r="P10" s="5" t="s">
        <v>161</v>
      </c>
      <c r="Q10" s="5"/>
      <c r="R10" s="5" t="s">
        <v>162</v>
      </c>
      <c r="S10" s="5" t="s">
        <v>163</v>
      </c>
      <c r="T10" s="5" t="s">
        <v>161</v>
      </c>
      <c r="U10" s="5" t="s">
        <v>164</v>
      </c>
      <c r="V10" s="5" t="s">
        <v>165</v>
      </c>
      <c r="W10" s="5" t="s">
        <v>166</v>
      </c>
      <c r="X10" s="5" t="s">
        <v>167</v>
      </c>
      <c r="Y10" s="5" t="s">
        <v>168</v>
      </c>
      <c r="Z10" s="5">
        <v>3.0</v>
      </c>
      <c r="AA10" s="5">
        <v>2026.0</v>
      </c>
      <c r="AB10" s="5" t="s">
        <v>83</v>
      </c>
    </row>
    <row r="11">
      <c r="A11" s="4" t="s">
        <v>169</v>
      </c>
      <c r="B11" s="5" t="s">
        <v>28</v>
      </c>
      <c r="C11" s="6" t="s">
        <v>170</v>
      </c>
      <c r="D11" s="7" t="s">
        <v>171</v>
      </c>
      <c r="E11" s="5" t="s">
        <v>172</v>
      </c>
      <c r="F11" s="5" t="s">
        <v>32</v>
      </c>
      <c r="G11" s="5" t="s">
        <v>64</v>
      </c>
      <c r="H11" s="5" t="s">
        <v>34</v>
      </c>
      <c r="I11" s="8">
        <v>141.0</v>
      </c>
      <c r="J11" s="9" t="s">
        <v>35</v>
      </c>
      <c r="K11" s="5" t="s">
        <v>64</v>
      </c>
      <c r="L11" s="5" t="s">
        <v>34</v>
      </c>
      <c r="M11" s="10" t="s">
        <v>65</v>
      </c>
      <c r="N11" s="10" t="s">
        <v>66</v>
      </c>
      <c r="O11" s="10" t="s">
        <v>129</v>
      </c>
      <c r="P11" s="5" t="s">
        <v>173</v>
      </c>
      <c r="Q11" s="5" t="s">
        <v>174</v>
      </c>
      <c r="R11" s="5" t="s">
        <v>175</v>
      </c>
      <c r="S11" s="5" t="s">
        <v>176</v>
      </c>
      <c r="T11" s="5" t="s">
        <v>177</v>
      </c>
      <c r="U11" s="5" t="s">
        <v>178</v>
      </c>
      <c r="V11" s="5" t="s">
        <v>179</v>
      </c>
      <c r="W11" s="5" t="s">
        <v>180</v>
      </c>
      <c r="X11" s="5" t="s">
        <v>181</v>
      </c>
      <c r="Y11" s="5" t="s">
        <v>182</v>
      </c>
      <c r="Z11" s="5">
        <v>4.0</v>
      </c>
      <c r="AA11" s="5">
        <v>2026.0</v>
      </c>
      <c r="AB11" s="5" t="s">
        <v>34</v>
      </c>
    </row>
    <row r="12">
      <c r="A12" s="4" t="s">
        <v>183</v>
      </c>
      <c r="B12" s="5" t="s">
        <v>28</v>
      </c>
      <c r="C12" s="6" t="s">
        <v>184</v>
      </c>
      <c r="D12" s="7" t="s">
        <v>185</v>
      </c>
      <c r="E12" s="5" t="s">
        <v>186</v>
      </c>
      <c r="F12" s="5" t="s">
        <v>32</v>
      </c>
      <c r="G12" s="5" t="s">
        <v>187</v>
      </c>
      <c r="H12" s="5" t="s">
        <v>34</v>
      </c>
      <c r="I12" s="8">
        <v>110.0</v>
      </c>
      <c r="J12" s="9" t="s">
        <v>35</v>
      </c>
      <c r="K12" s="5" t="s">
        <v>188</v>
      </c>
      <c r="L12" s="5" t="s">
        <v>34</v>
      </c>
      <c r="M12" s="5"/>
      <c r="N12" s="5"/>
      <c r="O12" s="5"/>
      <c r="P12" s="5" t="s">
        <v>189</v>
      </c>
      <c r="Q12" s="5" t="s">
        <v>190</v>
      </c>
      <c r="R12" s="5" t="s">
        <v>191</v>
      </c>
      <c r="S12" s="5" t="s">
        <v>192</v>
      </c>
      <c r="T12" s="5" t="s">
        <v>193</v>
      </c>
      <c r="U12" s="5" t="s">
        <v>194</v>
      </c>
      <c r="V12" s="5" t="s">
        <v>195</v>
      </c>
      <c r="W12" s="5" t="s">
        <v>196</v>
      </c>
      <c r="X12" s="5" t="s">
        <v>197</v>
      </c>
      <c r="Y12" s="5" t="s">
        <v>198</v>
      </c>
      <c r="Z12" s="5">
        <v>3.0</v>
      </c>
      <c r="AA12" s="5">
        <v>2026.0</v>
      </c>
      <c r="AB12" s="5" t="s">
        <v>34</v>
      </c>
    </row>
    <row r="13">
      <c r="A13" s="4" t="s">
        <v>199</v>
      </c>
      <c r="B13" s="5" t="s">
        <v>28</v>
      </c>
      <c r="C13" s="6" t="s">
        <v>200</v>
      </c>
      <c r="D13" s="7" t="s">
        <v>201</v>
      </c>
      <c r="E13" s="5" t="s">
        <v>202</v>
      </c>
      <c r="F13" s="5" t="s">
        <v>32</v>
      </c>
      <c r="G13" s="5" t="s">
        <v>203</v>
      </c>
      <c r="H13" s="5" t="s">
        <v>34</v>
      </c>
      <c r="I13" s="8">
        <v>100.0</v>
      </c>
      <c r="J13" s="9" t="s">
        <v>35</v>
      </c>
      <c r="K13" s="5" t="s">
        <v>204</v>
      </c>
      <c r="L13" s="5" t="s">
        <v>34</v>
      </c>
      <c r="M13" s="10" t="s">
        <v>65</v>
      </c>
      <c r="N13" s="10" t="s">
        <v>66</v>
      </c>
      <c r="O13" s="10" t="s">
        <v>129</v>
      </c>
      <c r="P13" s="5" t="s">
        <v>205</v>
      </c>
      <c r="Q13" s="5" t="s">
        <v>206</v>
      </c>
      <c r="R13" s="5" t="s">
        <v>207</v>
      </c>
      <c r="S13" s="5" t="s">
        <v>208</v>
      </c>
      <c r="T13" s="5" t="s">
        <v>209</v>
      </c>
      <c r="U13" s="5" t="s">
        <v>210</v>
      </c>
      <c r="V13" s="5" t="s">
        <v>211</v>
      </c>
      <c r="W13" s="5" t="s">
        <v>212</v>
      </c>
      <c r="X13" s="5" t="s">
        <v>213</v>
      </c>
      <c r="Y13" s="5" t="s">
        <v>214</v>
      </c>
      <c r="Z13" s="5">
        <v>3.0</v>
      </c>
      <c r="AA13" s="5">
        <v>2026.0</v>
      </c>
      <c r="AB13" s="5" t="s">
        <v>34</v>
      </c>
    </row>
    <row r="14">
      <c r="A14" s="4" t="s">
        <v>215</v>
      </c>
      <c r="B14" s="5" t="s">
        <v>28</v>
      </c>
      <c r="C14" s="6" t="s">
        <v>216</v>
      </c>
      <c r="D14" s="7" t="s">
        <v>217</v>
      </c>
      <c r="E14" s="5" t="s">
        <v>218</v>
      </c>
      <c r="F14" s="5" t="s">
        <v>32</v>
      </c>
      <c r="G14" s="5" t="s">
        <v>219</v>
      </c>
      <c r="H14" s="5" t="s">
        <v>34</v>
      </c>
      <c r="I14" s="8">
        <v>150.0</v>
      </c>
      <c r="J14" s="9" t="s">
        <v>35</v>
      </c>
      <c r="K14" s="5" t="s">
        <v>219</v>
      </c>
      <c r="L14" s="5" t="s">
        <v>34</v>
      </c>
      <c r="M14" s="5"/>
      <c r="N14" s="5"/>
      <c r="O14" s="5"/>
      <c r="P14" s="5" t="s">
        <v>220</v>
      </c>
      <c r="Q14" s="5" t="s">
        <v>220</v>
      </c>
      <c r="R14" s="5" t="s">
        <v>221</v>
      </c>
      <c r="S14" s="5" t="s">
        <v>222</v>
      </c>
      <c r="T14" s="5" t="s">
        <v>223</v>
      </c>
      <c r="U14" s="5" t="s">
        <v>224</v>
      </c>
      <c r="V14" s="5" t="s">
        <v>225</v>
      </c>
      <c r="W14" s="5" t="s">
        <v>226</v>
      </c>
      <c r="X14" s="5" t="s">
        <v>227</v>
      </c>
      <c r="Y14" s="5" t="s">
        <v>228</v>
      </c>
      <c r="Z14" s="5">
        <v>3.0</v>
      </c>
      <c r="AA14" s="5">
        <v>2026.0</v>
      </c>
      <c r="AB14" s="5" t="s">
        <v>34</v>
      </c>
    </row>
    <row r="15">
      <c r="A15" s="4" t="s">
        <v>229</v>
      </c>
      <c r="B15" s="5" t="s">
        <v>28</v>
      </c>
      <c r="C15" s="6" t="s">
        <v>230</v>
      </c>
      <c r="D15" s="7" t="s">
        <v>231</v>
      </c>
      <c r="E15" s="7" t="s">
        <v>231</v>
      </c>
      <c r="F15" s="5" t="s">
        <v>81</v>
      </c>
      <c r="G15" s="5" t="s">
        <v>126</v>
      </c>
      <c r="H15" s="5" t="s">
        <v>34</v>
      </c>
      <c r="I15" s="8">
        <v>217.0</v>
      </c>
      <c r="J15" s="9" t="s">
        <v>35</v>
      </c>
      <c r="K15" s="5" t="s">
        <v>232</v>
      </c>
      <c r="L15" s="5" t="s">
        <v>83</v>
      </c>
      <c r="M15" s="10" t="s">
        <v>65</v>
      </c>
      <c r="N15" s="10" t="s">
        <v>111</v>
      </c>
      <c r="O15" s="10" t="s">
        <v>112</v>
      </c>
      <c r="P15" s="5" t="s">
        <v>233</v>
      </c>
      <c r="Q15" s="5" t="s">
        <v>234</v>
      </c>
      <c r="R15" s="5" t="s">
        <v>235</v>
      </c>
      <c r="S15" s="5" t="s">
        <v>236</v>
      </c>
      <c r="T15" s="5" t="s">
        <v>237</v>
      </c>
      <c r="U15" s="5" t="s">
        <v>238</v>
      </c>
      <c r="V15" s="5"/>
      <c r="W15" s="5" t="s">
        <v>239</v>
      </c>
      <c r="X15" s="5" t="s">
        <v>240</v>
      </c>
      <c r="Y15" s="5" t="s">
        <v>241</v>
      </c>
      <c r="Z15" s="5">
        <v>3.0</v>
      </c>
      <c r="AA15" s="5">
        <v>2026.0</v>
      </c>
      <c r="AB15" s="5" t="s">
        <v>83</v>
      </c>
    </row>
    <row r="16">
      <c r="A16" s="4" t="s">
        <v>242</v>
      </c>
      <c r="B16" s="5" t="s">
        <v>28</v>
      </c>
      <c r="C16" s="6" t="s">
        <v>243</v>
      </c>
      <c r="D16" s="7" t="s">
        <v>244</v>
      </c>
      <c r="E16" s="5" t="s">
        <v>245</v>
      </c>
      <c r="F16" s="5" t="s">
        <v>32</v>
      </c>
      <c r="G16" s="5" t="s">
        <v>246</v>
      </c>
      <c r="H16" s="5" t="s">
        <v>34</v>
      </c>
      <c r="I16" s="8">
        <v>110.0</v>
      </c>
      <c r="J16" s="9" t="s">
        <v>35</v>
      </c>
      <c r="K16" s="5" t="s">
        <v>247</v>
      </c>
      <c r="L16" s="5" t="s">
        <v>34</v>
      </c>
      <c r="M16" s="10" t="s">
        <v>65</v>
      </c>
      <c r="N16" s="10" t="s">
        <v>66</v>
      </c>
      <c r="O16" s="10" t="s">
        <v>129</v>
      </c>
      <c r="P16" s="5" t="s">
        <v>248</v>
      </c>
      <c r="Q16" s="5" t="s">
        <v>248</v>
      </c>
      <c r="R16" s="5" t="s">
        <v>249</v>
      </c>
      <c r="S16" s="5" t="s">
        <v>250</v>
      </c>
      <c r="T16" s="5" t="s">
        <v>251</v>
      </c>
      <c r="U16" s="5" t="s">
        <v>252</v>
      </c>
      <c r="V16" s="5" t="s">
        <v>253</v>
      </c>
      <c r="W16" s="5" t="s">
        <v>254</v>
      </c>
      <c r="X16" s="5" t="s">
        <v>255</v>
      </c>
      <c r="Y16" s="5" t="s">
        <v>256</v>
      </c>
      <c r="Z16" s="5">
        <v>3.0</v>
      </c>
      <c r="AA16" s="5">
        <v>2026.0</v>
      </c>
      <c r="AB16" s="5" t="s">
        <v>34</v>
      </c>
    </row>
    <row r="17">
      <c r="A17" s="4" t="s">
        <v>257</v>
      </c>
      <c r="B17" s="5" t="s">
        <v>28</v>
      </c>
      <c r="C17" s="6" t="s">
        <v>258</v>
      </c>
      <c r="D17" s="7" t="s">
        <v>259</v>
      </c>
      <c r="E17" s="5" t="s">
        <v>260</v>
      </c>
      <c r="F17" s="5" t="s">
        <v>32</v>
      </c>
      <c r="G17" s="5" t="s">
        <v>261</v>
      </c>
      <c r="H17" s="5" t="s">
        <v>34</v>
      </c>
      <c r="I17" s="8">
        <v>120.0</v>
      </c>
      <c r="J17" s="9" t="s">
        <v>98</v>
      </c>
      <c r="K17" s="5" t="s">
        <v>261</v>
      </c>
      <c r="L17" s="5" t="s">
        <v>34</v>
      </c>
      <c r="M17" s="5"/>
      <c r="N17" s="5"/>
      <c r="O17" s="5"/>
      <c r="P17" s="5" t="s">
        <v>262</v>
      </c>
      <c r="Q17" s="5" t="s">
        <v>262</v>
      </c>
      <c r="R17" s="5" t="s">
        <v>263</v>
      </c>
      <c r="S17" s="5" t="s">
        <v>264</v>
      </c>
      <c r="T17" s="5" t="s">
        <v>265</v>
      </c>
      <c r="U17" s="5" t="s">
        <v>266</v>
      </c>
      <c r="V17" s="5" t="s">
        <v>267</v>
      </c>
      <c r="W17" s="5" t="s">
        <v>268</v>
      </c>
      <c r="X17" s="5" t="s">
        <v>269</v>
      </c>
      <c r="Y17" s="5" t="s">
        <v>270</v>
      </c>
      <c r="Z17" s="5">
        <v>3.0</v>
      </c>
      <c r="AA17" s="5">
        <v>2025.0</v>
      </c>
      <c r="AB17" s="5" t="s">
        <v>34</v>
      </c>
    </row>
    <row r="18">
      <c r="A18" s="4" t="s">
        <v>271</v>
      </c>
      <c r="B18" s="5" t="s">
        <v>28</v>
      </c>
      <c r="C18" s="6" t="s">
        <v>272</v>
      </c>
      <c r="D18" s="7" t="s">
        <v>273</v>
      </c>
      <c r="E18" s="5" t="s">
        <v>274</v>
      </c>
      <c r="F18" s="5" t="s">
        <v>32</v>
      </c>
      <c r="G18" s="5" t="s">
        <v>275</v>
      </c>
      <c r="H18" s="5" t="s">
        <v>83</v>
      </c>
      <c r="I18" s="8">
        <v>91.0</v>
      </c>
      <c r="J18" s="9" t="s">
        <v>35</v>
      </c>
      <c r="K18" s="5" t="s">
        <v>276</v>
      </c>
      <c r="L18" s="5" t="s">
        <v>83</v>
      </c>
      <c r="M18" s="5"/>
      <c r="N18" s="5"/>
      <c r="O18" s="5"/>
      <c r="P18" s="5" t="s">
        <v>277</v>
      </c>
      <c r="Q18" s="5" t="s">
        <v>277</v>
      </c>
      <c r="R18" s="5" t="s">
        <v>278</v>
      </c>
      <c r="S18" s="5" t="s">
        <v>277</v>
      </c>
      <c r="T18" s="5" t="s">
        <v>279</v>
      </c>
      <c r="U18" s="5" t="s">
        <v>280</v>
      </c>
      <c r="V18" s="5" t="s">
        <v>281</v>
      </c>
      <c r="W18" s="5" t="s">
        <v>282</v>
      </c>
      <c r="X18" s="5" t="s">
        <v>283</v>
      </c>
      <c r="Y18" s="5" t="s">
        <v>284</v>
      </c>
      <c r="Z18" s="5">
        <v>3.0</v>
      </c>
      <c r="AA18" s="5">
        <v>2026.0</v>
      </c>
      <c r="AB18" s="5" t="s">
        <v>83</v>
      </c>
    </row>
    <row r="19">
      <c r="A19" s="4" t="s">
        <v>285</v>
      </c>
      <c r="B19" s="5" t="s">
        <v>28</v>
      </c>
      <c r="C19" s="6" t="s">
        <v>286</v>
      </c>
      <c r="D19" s="7" t="s">
        <v>287</v>
      </c>
      <c r="E19" s="5" t="s">
        <v>288</v>
      </c>
      <c r="F19" s="5" t="s">
        <v>32</v>
      </c>
      <c r="G19" s="5" t="s">
        <v>289</v>
      </c>
      <c r="H19" s="5" t="s">
        <v>34</v>
      </c>
      <c r="I19" s="8">
        <v>116.0</v>
      </c>
      <c r="J19" s="9" t="s">
        <v>35</v>
      </c>
      <c r="K19" s="5" t="s">
        <v>289</v>
      </c>
      <c r="L19" s="5" t="s">
        <v>34</v>
      </c>
      <c r="M19" s="5"/>
      <c r="N19" s="5"/>
      <c r="O19" s="5"/>
      <c r="P19" s="5" t="s">
        <v>290</v>
      </c>
      <c r="Q19" s="5" t="s">
        <v>290</v>
      </c>
      <c r="R19" s="5" t="s">
        <v>291</v>
      </c>
      <c r="S19" s="5" t="s">
        <v>292</v>
      </c>
      <c r="T19" s="5" t="s">
        <v>293</v>
      </c>
      <c r="U19" s="5" t="s">
        <v>294</v>
      </c>
      <c r="V19" s="5" t="s">
        <v>295</v>
      </c>
      <c r="W19" s="5" t="s">
        <v>296</v>
      </c>
      <c r="X19" s="5" t="s">
        <v>297</v>
      </c>
      <c r="Y19" s="5" t="s">
        <v>298</v>
      </c>
      <c r="Z19" s="5">
        <v>3.0</v>
      </c>
      <c r="AA19" s="5">
        <v>2026.0</v>
      </c>
      <c r="AB19" s="5" t="s">
        <v>34</v>
      </c>
    </row>
    <row r="20">
      <c r="A20" s="4" t="s">
        <v>299</v>
      </c>
      <c r="B20" s="5" t="s">
        <v>28</v>
      </c>
      <c r="C20" s="6" t="s">
        <v>300</v>
      </c>
      <c r="D20" s="7" t="s">
        <v>301</v>
      </c>
      <c r="E20" s="5" t="s">
        <v>302</v>
      </c>
      <c r="F20" s="5" t="s">
        <v>32</v>
      </c>
      <c r="G20" s="5" t="s">
        <v>64</v>
      </c>
      <c r="H20" s="5" t="s">
        <v>34</v>
      </c>
      <c r="I20" s="8">
        <v>114.0</v>
      </c>
      <c r="J20" s="9" t="s">
        <v>35</v>
      </c>
      <c r="K20" s="5" t="s">
        <v>64</v>
      </c>
      <c r="L20" s="5" t="s">
        <v>34</v>
      </c>
      <c r="M20" s="5"/>
      <c r="N20" s="5"/>
      <c r="O20" s="5"/>
      <c r="P20" s="5" t="s">
        <v>303</v>
      </c>
      <c r="Q20" s="5" t="s">
        <v>303</v>
      </c>
      <c r="R20" s="5" t="s">
        <v>304</v>
      </c>
      <c r="S20" s="5" t="s">
        <v>305</v>
      </c>
      <c r="T20" s="5" t="s">
        <v>306</v>
      </c>
      <c r="U20" s="5" t="s">
        <v>307</v>
      </c>
      <c r="V20" s="5" t="s">
        <v>308</v>
      </c>
      <c r="W20" s="5" t="s">
        <v>309</v>
      </c>
      <c r="X20" s="5" t="s">
        <v>310</v>
      </c>
      <c r="Y20" s="5" t="s">
        <v>311</v>
      </c>
      <c r="Z20" s="5">
        <v>3.0</v>
      </c>
      <c r="AA20" s="5">
        <v>2026.0</v>
      </c>
      <c r="AB20" s="5" t="s">
        <v>34</v>
      </c>
    </row>
    <row r="21" ht="15.75" customHeight="1">
      <c r="A21" s="4" t="s">
        <v>312</v>
      </c>
      <c r="B21" s="5" t="s">
        <v>28</v>
      </c>
      <c r="C21" s="6" t="s">
        <v>313</v>
      </c>
      <c r="D21" s="7" t="s">
        <v>314</v>
      </c>
      <c r="E21" s="5" t="s">
        <v>315</v>
      </c>
      <c r="F21" s="5" t="s">
        <v>32</v>
      </c>
      <c r="G21" s="5" t="s">
        <v>33</v>
      </c>
      <c r="H21" s="5" t="s">
        <v>34</v>
      </c>
      <c r="I21" s="8">
        <v>90.0</v>
      </c>
      <c r="J21" s="9" t="s">
        <v>35</v>
      </c>
      <c r="K21" s="5" t="s">
        <v>33</v>
      </c>
      <c r="L21" s="5" t="s">
        <v>34</v>
      </c>
      <c r="M21" s="10" t="s">
        <v>65</v>
      </c>
      <c r="N21" s="10" t="s">
        <v>316</v>
      </c>
      <c r="O21" s="10" t="s">
        <v>317</v>
      </c>
      <c r="P21" s="5" t="s">
        <v>318</v>
      </c>
      <c r="Q21" s="5" t="s">
        <v>319</v>
      </c>
      <c r="R21" s="5" t="s">
        <v>320</v>
      </c>
      <c r="S21" s="5" t="s">
        <v>321</v>
      </c>
      <c r="T21" s="5" t="s">
        <v>322</v>
      </c>
      <c r="U21" s="5" t="s">
        <v>323</v>
      </c>
      <c r="V21" s="5" t="s">
        <v>324</v>
      </c>
      <c r="W21" s="5" t="s">
        <v>325</v>
      </c>
      <c r="X21" s="5" t="s">
        <v>326</v>
      </c>
      <c r="Y21" s="5" t="s">
        <v>327</v>
      </c>
      <c r="Z21" s="5">
        <v>3.0</v>
      </c>
      <c r="AA21" s="5">
        <v>2026.0</v>
      </c>
      <c r="AB21" s="5" t="s">
        <v>34</v>
      </c>
    </row>
    <row r="22" ht="15.75" customHeight="1">
      <c r="A22" s="4" t="s">
        <v>328</v>
      </c>
      <c r="B22" s="5" t="s">
        <v>28</v>
      </c>
      <c r="C22" s="6" t="s">
        <v>329</v>
      </c>
      <c r="D22" s="7" t="s">
        <v>330</v>
      </c>
      <c r="E22" s="5"/>
      <c r="F22" s="5" t="s">
        <v>81</v>
      </c>
      <c r="G22" s="5" t="s">
        <v>261</v>
      </c>
      <c r="H22" s="5" t="s">
        <v>34</v>
      </c>
      <c r="I22" s="8">
        <v>116.0</v>
      </c>
      <c r="J22" s="9" t="s">
        <v>35</v>
      </c>
      <c r="K22" s="5" t="s">
        <v>261</v>
      </c>
      <c r="L22" s="5" t="s">
        <v>34</v>
      </c>
      <c r="M22" s="10" t="s">
        <v>65</v>
      </c>
      <c r="N22" s="10" t="s">
        <v>111</v>
      </c>
      <c r="O22" s="10" t="s">
        <v>112</v>
      </c>
      <c r="P22" s="5" t="s">
        <v>331</v>
      </c>
      <c r="Q22" s="5" t="s">
        <v>332</v>
      </c>
      <c r="R22" s="5" t="s">
        <v>333</v>
      </c>
      <c r="S22" s="5" t="s">
        <v>334</v>
      </c>
      <c r="T22" s="5" t="s">
        <v>335</v>
      </c>
      <c r="U22" s="5" t="s">
        <v>336</v>
      </c>
      <c r="V22" s="5" t="s">
        <v>337</v>
      </c>
      <c r="W22" s="5" t="s">
        <v>338</v>
      </c>
      <c r="X22" s="5" t="s">
        <v>339</v>
      </c>
      <c r="Y22" s="5" t="s">
        <v>340</v>
      </c>
      <c r="Z22" s="5">
        <v>3.0</v>
      </c>
      <c r="AA22" s="5">
        <v>2026.0</v>
      </c>
      <c r="AB22" s="5" t="s">
        <v>34</v>
      </c>
    </row>
    <row r="23" ht="15.75" customHeight="1">
      <c r="A23" s="4" t="s">
        <v>341</v>
      </c>
      <c r="B23" s="5" t="s">
        <v>28</v>
      </c>
      <c r="C23" s="6" t="s">
        <v>342</v>
      </c>
      <c r="D23" s="7" t="s">
        <v>343</v>
      </c>
      <c r="E23" s="5" t="s">
        <v>344</v>
      </c>
      <c r="F23" s="5" t="s">
        <v>32</v>
      </c>
      <c r="G23" s="5" t="s">
        <v>33</v>
      </c>
      <c r="H23" s="5" t="s">
        <v>34</v>
      </c>
      <c r="I23" s="8">
        <v>119.0</v>
      </c>
      <c r="J23" s="9" t="s">
        <v>35</v>
      </c>
      <c r="K23" s="5" t="s">
        <v>33</v>
      </c>
      <c r="L23" s="5" t="s">
        <v>34</v>
      </c>
      <c r="M23" s="10" t="s">
        <v>65</v>
      </c>
      <c r="N23" s="10" t="s">
        <v>345</v>
      </c>
      <c r="O23" s="10" t="s">
        <v>346</v>
      </c>
      <c r="P23" s="5" t="s">
        <v>347</v>
      </c>
      <c r="Q23" s="5" t="s">
        <v>347</v>
      </c>
      <c r="R23" s="5" t="s">
        <v>348</v>
      </c>
      <c r="S23" s="5" t="s">
        <v>349</v>
      </c>
      <c r="T23" s="5" t="s">
        <v>350</v>
      </c>
      <c r="U23" s="5" t="s">
        <v>351</v>
      </c>
      <c r="V23" s="5" t="s">
        <v>352</v>
      </c>
      <c r="W23" s="5" t="s">
        <v>353</v>
      </c>
      <c r="X23" s="5" t="s">
        <v>354</v>
      </c>
      <c r="Y23" s="5" t="s">
        <v>355</v>
      </c>
      <c r="Z23" s="5">
        <v>3.0</v>
      </c>
      <c r="AA23" s="5">
        <v>2026.0</v>
      </c>
      <c r="AB23" s="5" t="s">
        <v>34</v>
      </c>
    </row>
    <row r="24" ht="15.75" customHeight="1">
      <c r="A24" s="4" t="s">
        <v>356</v>
      </c>
      <c r="B24" s="5" t="s">
        <v>28</v>
      </c>
      <c r="C24" s="6" t="s">
        <v>357</v>
      </c>
      <c r="D24" s="7" t="s">
        <v>358</v>
      </c>
      <c r="E24" s="5" t="s">
        <v>359</v>
      </c>
      <c r="F24" s="5" t="s">
        <v>32</v>
      </c>
      <c r="G24" s="5" t="s">
        <v>126</v>
      </c>
      <c r="H24" s="5" t="s">
        <v>34</v>
      </c>
      <c r="I24" s="8">
        <v>115.0</v>
      </c>
      <c r="J24" s="9" t="s">
        <v>35</v>
      </c>
      <c r="K24" s="5" t="s">
        <v>360</v>
      </c>
      <c r="L24" s="5" t="s">
        <v>34</v>
      </c>
      <c r="M24" s="10" t="s">
        <v>65</v>
      </c>
      <c r="N24" s="10" t="s">
        <v>66</v>
      </c>
      <c r="O24" s="10" t="s">
        <v>129</v>
      </c>
      <c r="P24" s="5" t="s">
        <v>361</v>
      </c>
      <c r="Q24" s="5" t="s">
        <v>361</v>
      </c>
      <c r="R24" s="5" t="s">
        <v>362</v>
      </c>
      <c r="S24" s="5" t="s">
        <v>363</v>
      </c>
      <c r="T24" s="5" t="s">
        <v>134</v>
      </c>
      <c r="U24" s="5" t="s">
        <v>364</v>
      </c>
      <c r="V24" s="5" t="s">
        <v>365</v>
      </c>
      <c r="W24" s="5" t="s">
        <v>366</v>
      </c>
      <c r="X24" s="5" t="s">
        <v>367</v>
      </c>
      <c r="Y24" s="5" t="s">
        <v>368</v>
      </c>
      <c r="Z24" s="5">
        <v>3.0</v>
      </c>
      <c r="AA24" s="5">
        <v>2026.0</v>
      </c>
      <c r="AB24" s="5" t="s">
        <v>34</v>
      </c>
    </row>
    <row r="25" ht="15.75" customHeight="1">
      <c r="A25" s="4" t="s">
        <v>369</v>
      </c>
      <c r="B25" s="5" t="s">
        <v>28</v>
      </c>
      <c r="C25" s="6" t="s">
        <v>370</v>
      </c>
      <c r="D25" s="7" t="s">
        <v>371</v>
      </c>
      <c r="E25" s="5" t="s">
        <v>372</v>
      </c>
      <c r="F25" s="5" t="s">
        <v>32</v>
      </c>
      <c r="G25" s="5" t="s">
        <v>373</v>
      </c>
      <c r="H25" s="5" t="s">
        <v>34</v>
      </c>
      <c r="I25" s="8">
        <v>104.0</v>
      </c>
      <c r="J25" s="9" t="s">
        <v>35</v>
      </c>
      <c r="K25" s="5" t="s">
        <v>374</v>
      </c>
      <c r="L25" s="5" t="s">
        <v>34</v>
      </c>
      <c r="M25" s="5"/>
      <c r="N25" s="5"/>
      <c r="O25" s="5"/>
      <c r="P25" s="5" t="s">
        <v>375</v>
      </c>
      <c r="Q25" s="5" t="s">
        <v>375</v>
      </c>
      <c r="R25" s="5" t="s">
        <v>376</v>
      </c>
      <c r="S25" s="5" t="s">
        <v>377</v>
      </c>
      <c r="T25" s="5" t="s">
        <v>378</v>
      </c>
      <c r="U25" s="5" t="s">
        <v>379</v>
      </c>
      <c r="V25" s="5" t="s">
        <v>380</v>
      </c>
      <c r="W25" s="5" t="s">
        <v>381</v>
      </c>
      <c r="X25" s="5" t="s">
        <v>382</v>
      </c>
      <c r="Y25" s="5" t="s">
        <v>383</v>
      </c>
      <c r="Z25" s="5">
        <v>5.0</v>
      </c>
      <c r="AA25" s="5">
        <v>2026.0</v>
      </c>
      <c r="AB25" s="5" t="s">
        <v>34</v>
      </c>
    </row>
    <row r="26" ht="15.75" customHeight="1">
      <c r="A26" s="4" t="s">
        <v>384</v>
      </c>
      <c r="B26" s="5" t="s">
        <v>28</v>
      </c>
      <c r="C26" s="11" t="s">
        <v>385</v>
      </c>
      <c r="D26" s="7" t="s">
        <v>386</v>
      </c>
      <c r="E26" s="5" t="s">
        <v>387</v>
      </c>
      <c r="F26" s="5" t="s">
        <v>32</v>
      </c>
      <c r="G26" s="5" t="s">
        <v>388</v>
      </c>
      <c r="H26" s="5" t="s">
        <v>83</v>
      </c>
      <c r="I26" s="8">
        <v>87.0</v>
      </c>
      <c r="J26" s="9" t="s">
        <v>98</v>
      </c>
      <c r="K26" s="5" t="s">
        <v>389</v>
      </c>
      <c r="L26" s="5" t="s">
        <v>83</v>
      </c>
      <c r="M26" s="5"/>
      <c r="N26" s="5"/>
      <c r="O26" s="5"/>
      <c r="P26" s="5" t="s">
        <v>390</v>
      </c>
      <c r="Q26" s="5" t="s">
        <v>390</v>
      </c>
      <c r="R26" s="5" t="s">
        <v>391</v>
      </c>
      <c r="S26" s="5" t="s">
        <v>392</v>
      </c>
      <c r="T26" s="5" t="s">
        <v>393</v>
      </c>
      <c r="U26" s="5" t="s">
        <v>394</v>
      </c>
      <c r="V26" s="5" t="s">
        <v>395</v>
      </c>
      <c r="W26" s="5" t="s">
        <v>396</v>
      </c>
      <c r="X26" s="5" t="s">
        <v>397</v>
      </c>
      <c r="Y26" s="5" t="s">
        <v>398</v>
      </c>
      <c r="Z26" s="5">
        <v>3.0</v>
      </c>
      <c r="AA26" s="5">
        <v>2025.0</v>
      </c>
      <c r="AB26" s="5" t="s">
        <v>83</v>
      </c>
    </row>
    <row r="27" ht="15.75" customHeight="1">
      <c r="A27" s="4" t="s">
        <v>399</v>
      </c>
      <c r="B27" s="5" t="s">
        <v>28</v>
      </c>
      <c r="C27" s="6" t="s">
        <v>400</v>
      </c>
      <c r="D27" s="7" t="s">
        <v>401</v>
      </c>
      <c r="E27" s="5" t="s">
        <v>402</v>
      </c>
      <c r="F27" s="5" t="s">
        <v>32</v>
      </c>
      <c r="G27" s="5" t="s">
        <v>403</v>
      </c>
      <c r="H27" s="5" t="s">
        <v>34</v>
      </c>
      <c r="I27" s="8">
        <v>104.0</v>
      </c>
      <c r="J27" s="9" t="s">
        <v>35</v>
      </c>
      <c r="K27" s="5" t="s">
        <v>404</v>
      </c>
      <c r="L27" s="5" t="s">
        <v>34</v>
      </c>
      <c r="M27" s="5"/>
      <c r="N27" s="5"/>
      <c r="O27" s="5"/>
      <c r="P27" s="5" t="s">
        <v>405</v>
      </c>
      <c r="Q27" s="5" t="s">
        <v>406</v>
      </c>
      <c r="R27" s="5" t="s">
        <v>407</v>
      </c>
      <c r="S27" s="5" t="s">
        <v>408</v>
      </c>
      <c r="T27" s="5" t="s">
        <v>409</v>
      </c>
      <c r="U27" s="5" t="s">
        <v>410</v>
      </c>
      <c r="V27" s="5"/>
      <c r="W27" s="5" t="s">
        <v>411</v>
      </c>
      <c r="X27" s="5" t="s">
        <v>412</v>
      </c>
      <c r="Y27" s="5" t="s">
        <v>413</v>
      </c>
      <c r="Z27" s="5">
        <v>3.0</v>
      </c>
      <c r="AA27" s="5">
        <v>2026.0</v>
      </c>
      <c r="AB27" s="5" t="s">
        <v>34</v>
      </c>
    </row>
    <row r="28" ht="15.75" customHeight="1">
      <c r="A28" s="4" t="s">
        <v>414</v>
      </c>
      <c r="B28" s="5" t="s">
        <v>28</v>
      </c>
      <c r="C28" s="6" t="s">
        <v>415</v>
      </c>
      <c r="D28" s="7" t="s">
        <v>416</v>
      </c>
      <c r="E28" s="5" t="s">
        <v>417</v>
      </c>
      <c r="F28" s="5" t="s">
        <v>32</v>
      </c>
      <c r="G28" s="5" t="s">
        <v>418</v>
      </c>
      <c r="H28" s="5" t="s">
        <v>34</v>
      </c>
      <c r="I28" s="8">
        <v>134.0</v>
      </c>
      <c r="J28" s="9" t="s">
        <v>35</v>
      </c>
      <c r="K28" s="5" t="s">
        <v>419</v>
      </c>
      <c r="L28" s="5" t="s">
        <v>34</v>
      </c>
      <c r="M28" s="5"/>
      <c r="N28" s="5"/>
      <c r="O28" s="5"/>
      <c r="P28" s="5" t="s">
        <v>420</v>
      </c>
      <c r="Q28" s="5" t="s">
        <v>421</v>
      </c>
      <c r="R28" s="5" t="s">
        <v>422</v>
      </c>
      <c r="S28" s="5" t="s">
        <v>423</v>
      </c>
      <c r="T28" s="5" t="s">
        <v>424</v>
      </c>
      <c r="U28" s="5" t="s">
        <v>425</v>
      </c>
      <c r="V28" s="5" t="s">
        <v>426</v>
      </c>
      <c r="W28" s="5" t="s">
        <v>427</v>
      </c>
      <c r="X28" s="5" t="s">
        <v>428</v>
      </c>
      <c r="Y28" s="5" t="s">
        <v>429</v>
      </c>
      <c r="Z28" s="5">
        <v>3.0</v>
      </c>
      <c r="AA28" s="5">
        <v>2026.0</v>
      </c>
      <c r="AB28" s="5" t="s">
        <v>34</v>
      </c>
    </row>
    <row r="29" ht="15.75" customHeight="1">
      <c r="A29" s="4" t="s">
        <v>430</v>
      </c>
      <c r="B29" s="5" t="s">
        <v>28</v>
      </c>
      <c r="C29" s="6" t="s">
        <v>431</v>
      </c>
      <c r="D29" s="7" t="s">
        <v>432</v>
      </c>
      <c r="E29" s="5" t="s">
        <v>433</v>
      </c>
      <c r="F29" s="5" t="s">
        <v>32</v>
      </c>
      <c r="G29" s="5" t="s">
        <v>434</v>
      </c>
      <c r="H29" s="5" t="s">
        <v>34</v>
      </c>
      <c r="I29" s="8">
        <v>127.0</v>
      </c>
      <c r="J29" s="9" t="s">
        <v>35</v>
      </c>
      <c r="K29" s="5" t="s">
        <v>435</v>
      </c>
      <c r="L29" s="5" t="s">
        <v>34</v>
      </c>
      <c r="M29" s="5"/>
      <c r="N29" s="5"/>
      <c r="O29" s="5"/>
      <c r="P29" s="5" t="s">
        <v>436</v>
      </c>
      <c r="Q29" s="5" t="s">
        <v>436</v>
      </c>
      <c r="R29" s="5" t="s">
        <v>437</v>
      </c>
      <c r="S29" s="5" t="s">
        <v>438</v>
      </c>
      <c r="T29" s="5" t="s">
        <v>439</v>
      </c>
      <c r="U29" s="5" t="s">
        <v>440</v>
      </c>
      <c r="V29" s="5" t="s">
        <v>441</v>
      </c>
      <c r="W29" s="5" t="s">
        <v>442</v>
      </c>
      <c r="X29" s="5" t="s">
        <v>443</v>
      </c>
      <c r="Y29" s="5" t="s">
        <v>444</v>
      </c>
      <c r="Z29" s="5">
        <v>3.0</v>
      </c>
      <c r="AA29" s="5">
        <v>2026.0</v>
      </c>
      <c r="AB29" s="5" t="s">
        <v>34</v>
      </c>
    </row>
    <row r="30" ht="15.75" customHeight="1">
      <c r="A30" s="4" t="s">
        <v>445</v>
      </c>
      <c r="B30" s="5" t="s">
        <v>28</v>
      </c>
      <c r="C30" s="6" t="s">
        <v>446</v>
      </c>
      <c r="D30" s="7" t="s">
        <v>447</v>
      </c>
      <c r="E30" s="5" t="s">
        <v>448</v>
      </c>
      <c r="F30" s="5" t="s">
        <v>32</v>
      </c>
      <c r="G30" s="5" t="s">
        <v>449</v>
      </c>
      <c r="H30" s="5" t="s">
        <v>34</v>
      </c>
      <c r="I30" s="8">
        <v>131.0</v>
      </c>
      <c r="J30" s="9" t="s">
        <v>35</v>
      </c>
      <c r="K30" s="5" t="s">
        <v>449</v>
      </c>
      <c r="L30" s="5" t="s">
        <v>34</v>
      </c>
      <c r="M30" s="5"/>
      <c r="N30" s="5"/>
      <c r="O30" s="5"/>
      <c r="P30" s="5" t="s">
        <v>450</v>
      </c>
      <c r="Q30" s="5" t="s">
        <v>451</v>
      </c>
      <c r="R30" s="5" t="s">
        <v>452</v>
      </c>
      <c r="S30" s="5" t="s">
        <v>453</v>
      </c>
      <c r="T30" s="5" t="s">
        <v>454</v>
      </c>
      <c r="U30" s="5" t="s">
        <v>455</v>
      </c>
      <c r="V30" s="5" t="s">
        <v>456</v>
      </c>
      <c r="W30" s="5" t="s">
        <v>457</v>
      </c>
      <c r="X30" s="5" t="s">
        <v>458</v>
      </c>
      <c r="Y30" s="5" t="s">
        <v>459</v>
      </c>
      <c r="Z30" s="5">
        <v>3.0</v>
      </c>
      <c r="AA30" s="5">
        <v>2026.0</v>
      </c>
      <c r="AB30" s="5" t="s">
        <v>34</v>
      </c>
    </row>
    <row r="31" ht="15.75" customHeight="1">
      <c r="A31" s="4" t="s">
        <v>460</v>
      </c>
      <c r="B31" s="5" t="s">
        <v>28</v>
      </c>
      <c r="C31" s="6" t="s">
        <v>461</v>
      </c>
      <c r="D31" s="7" t="s">
        <v>462</v>
      </c>
      <c r="E31" s="5" t="s">
        <v>463</v>
      </c>
      <c r="F31" s="5" t="s">
        <v>32</v>
      </c>
      <c r="G31" s="5" t="s">
        <v>464</v>
      </c>
      <c r="H31" s="5" t="s">
        <v>34</v>
      </c>
      <c r="I31" s="8">
        <v>98.0</v>
      </c>
      <c r="J31" s="9" t="s">
        <v>35</v>
      </c>
      <c r="K31" s="5" t="s">
        <v>465</v>
      </c>
      <c r="L31" s="5" t="s">
        <v>34</v>
      </c>
      <c r="M31" s="5"/>
      <c r="N31" s="5"/>
      <c r="O31" s="5"/>
      <c r="P31" s="5" t="s">
        <v>466</v>
      </c>
      <c r="Q31" s="5" t="s">
        <v>467</v>
      </c>
      <c r="R31" s="5" t="s">
        <v>468</v>
      </c>
      <c r="S31" s="5" t="s">
        <v>469</v>
      </c>
      <c r="T31" s="5" t="s">
        <v>470</v>
      </c>
      <c r="U31" s="5" t="s">
        <v>471</v>
      </c>
      <c r="V31" s="5" t="s">
        <v>472</v>
      </c>
      <c r="W31" s="5" t="s">
        <v>473</v>
      </c>
      <c r="X31" s="5" t="s">
        <v>474</v>
      </c>
      <c r="Y31" s="5" t="s">
        <v>475</v>
      </c>
      <c r="Z31" s="5">
        <v>3.0</v>
      </c>
      <c r="AA31" s="5">
        <v>2026.0</v>
      </c>
      <c r="AB31" s="5" t="s">
        <v>34</v>
      </c>
    </row>
    <row r="32" ht="15.75" customHeight="1">
      <c r="A32" s="4" t="s">
        <v>476</v>
      </c>
      <c r="B32" s="5" t="s">
        <v>28</v>
      </c>
      <c r="C32" s="6" t="s">
        <v>477</v>
      </c>
      <c r="D32" s="7" t="s">
        <v>478</v>
      </c>
      <c r="E32" s="5" t="s">
        <v>479</v>
      </c>
      <c r="F32" s="5" t="s">
        <v>32</v>
      </c>
      <c r="G32" s="5" t="s">
        <v>33</v>
      </c>
      <c r="H32" s="5" t="s">
        <v>34</v>
      </c>
      <c r="I32" s="8">
        <v>82.0</v>
      </c>
      <c r="J32" s="9" t="s">
        <v>35</v>
      </c>
      <c r="K32" s="5" t="s">
        <v>33</v>
      </c>
      <c r="L32" s="5" t="s">
        <v>34</v>
      </c>
      <c r="M32" s="5"/>
      <c r="N32" s="5"/>
      <c r="O32" s="5"/>
      <c r="P32" s="5" t="s">
        <v>480</v>
      </c>
      <c r="Q32" s="5"/>
      <c r="R32" s="5"/>
      <c r="S32" s="5"/>
      <c r="T32" s="5"/>
      <c r="U32" s="5"/>
      <c r="V32" s="5"/>
      <c r="W32" s="5"/>
      <c r="X32" s="5" t="s">
        <v>481</v>
      </c>
      <c r="Y32" s="5" t="s">
        <v>482</v>
      </c>
      <c r="Z32" s="5">
        <v>3.0</v>
      </c>
      <c r="AA32" s="5">
        <v>2026.0</v>
      </c>
      <c r="AB32" s="5" t="s">
        <v>34</v>
      </c>
    </row>
    <row r="33" ht="15.75" customHeight="1">
      <c r="A33" s="4" t="s">
        <v>483</v>
      </c>
      <c r="B33" s="5" t="s">
        <v>28</v>
      </c>
      <c r="C33" s="6" t="s">
        <v>484</v>
      </c>
      <c r="D33" s="7" t="s">
        <v>485</v>
      </c>
      <c r="E33" s="5" t="s">
        <v>486</v>
      </c>
      <c r="F33" s="5" t="s">
        <v>32</v>
      </c>
      <c r="G33" s="5" t="s">
        <v>487</v>
      </c>
      <c r="H33" s="5" t="s">
        <v>34</v>
      </c>
      <c r="I33" s="8">
        <v>155.0</v>
      </c>
      <c r="J33" s="9" t="s">
        <v>35</v>
      </c>
      <c r="K33" s="5" t="s">
        <v>487</v>
      </c>
      <c r="L33" s="5" t="s">
        <v>34</v>
      </c>
      <c r="M33" s="5"/>
      <c r="N33" s="5"/>
      <c r="O33" s="5"/>
      <c r="P33" s="5" t="s">
        <v>488</v>
      </c>
      <c r="Q33" s="5" t="s">
        <v>489</v>
      </c>
      <c r="R33" s="5" t="s">
        <v>490</v>
      </c>
      <c r="S33" s="5" t="s">
        <v>491</v>
      </c>
      <c r="T33" s="5" t="s">
        <v>492</v>
      </c>
      <c r="U33" s="5" t="s">
        <v>493</v>
      </c>
      <c r="V33" s="5" t="s">
        <v>494</v>
      </c>
      <c r="W33" s="5" t="s">
        <v>495</v>
      </c>
      <c r="X33" s="5" t="s">
        <v>496</v>
      </c>
      <c r="Y33" s="5" t="s">
        <v>497</v>
      </c>
      <c r="Z33" s="5">
        <v>3.0</v>
      </c>
      <c r="AA33" s="5">
        <v>2026.0</v>
      </c>
      <c r="AB33" s="5" t="s">
        <v>34</v>
      </c>
    </row>
    <row r="34" ht="15.75" customHeight="1">
      <c r="A34" s="4" t="s">
        <v>498</v>
      </c>
      <c r="B34" s="5" t="s">
        <v>28</v>
      </c>
      <c r="C34" s="12" t="s">
        <v>499</v>
      </c>
      <c r="D34" s="7" t="s">
        <v>500</v>
      </c>
      <c r="E34" s="5"/>
      <c r="F34" s="5" t="s">
        <v>81</v>
      </c>
      <c r="G34" s="5" t="s">
        <v>501</v>
      </c>
      <c r="H34" s="5" t="s">
        <v>34</v>
      </c>
      <c r="I34" s="8">
        <v>106.0</v>
      </c>
      <c r="J34" s="9" t="s">
        <v>35</v>
      </c>
      <c r="K34" s="5" t="s">
        <v>502</v>
      </c>
      <c r="L34" s="5" t="s">
        <v>34</v>
      </c>
      <c r="M34" s="5"/>
      <c r="N34" s="5"/>
      <c r="O34" s="5"/>
      <c r="P34" s="5" t="s">
        <v>503</v>
      </c>
      <c r="Q34" s="5" t="s">
        <v>504</v>
      </c>
      <c r="R34" s="5" t="s">
        <v>505</v>
      </c>
      <c r="S34" s="5" t="s">
        <v>506</v>
      </c>
      <c r="T34" s="5" t="s">
        <v>507</v>
      </c>
      <c r="U34" s="5" t="s">
        <v>508</v>
      </c>
      <c r="V34" s="5" t="s">
        <v>509</v>
      </c>
      <c r="W34" s="5" t="s">
        <v>510</v>
      </c>
      <c r="X34" s="5" t="s">
        <v>511</v>
      </c>
      <c r="Y34" s="5" t="s">
        <v>512</v>
      </c>
      <c r="Z34" s="5">
        <v>3.0</v>
      </c>
      <c r="AA34" s="5">
        <v>2026.0</v>
      </c>
      <c r="AB34" s="5" t="s">
        <v>34</v>
      </c>
    </row>
    <row r="35" ht="15.75" customHeight="1">
      <c r="A35" s="4" t="s">
        <v>513</v>
      </c>
      <c r="B35" s="5" t="s">
        <v>28</v>
      </c>
      <c r="C35" s="12" t="s">
        <v>514</v>
      </c>
      <c r="D35" s="7" t="s">
        <v>515</v>
      </c>
      <c r="E35" s="5" t="s">
        <v>516</v>
      </c>
      <c r="F35" s="5" t="s">
        <v>32</v>
      </c>
      <c r="G35" s="5" t="s">
        <v>517</v>
      </c>
      <c r="H35" s="5" t="s">
        <v>34</v>
      </c>
      <c r="I35" s="8">
        <v>121.0</v>
      </c>
      <c r="J35" s="9" t="s">
        <v>98</v>
      </c>
      <c r="K35" s="5" t="s">
        <v>518</v>
      </c>
      <c r="L35" s="5" t="s">
        <v>34</v>
      </c>
      <c r="M35" s="5"/>
      <c r="N35" s="5"/>
      <c r="O35" s="5"/>
      <c r="P35" s="5" t="s">
        <v>519</v>
      </c>
      <c r="Q35" s="5" t="s">
        <v>520</v>
      </c>
      <c r="R35" s="5" t="s">
        <v>521</v>
      </c>
      <c r="S35" s="5" t="s">
        <v>522</v>
      </c>
      <c r="T35" s="5" t="s">
        <v>523</v>
      </c>
      <c r="U35" s="5" t="s">
        <v>524</v>
      </c>
      <c r="V35" s="5" t="s">
        <v>525</v>
      </c>
      <c r="W35" s="5" t="s">
        <v>526</v>
      </c>
      <c r="X35" s="5" t="s">
        <v>527</v>
      </c>
      <c r="Y35" s="5" t="s">
        <v>528</v>
      </c>
      <c r="Z35" s="5">
        <v>3.0</v>
      </c>
      <c r="AA35" s="5">
        <v>2025.0</v>
      </c>
      <c r="AB35" s="5" t="s">
        <v>34</v>
      </c>
    </row>
    <row r="36" ht="15.75" customHeight="1">
      <c r="A36" s="4" t="s">
        <v>529</v>
      </c>
      <c r="B36" s="5" t="s">
        <v>28</v>
      </c>
      <c r="C36" s="12" t="s">
        <v>530</v>
      </c>
      <c r="D36" s="7" t="s">
        <v>531</v>
      </c>
      <c r="E36" s="5" t="s">
        <v>532</v>
      </c>
      <c r="F36" s="5" t="s">
        <v>32</v>
      </c>
      <c r="G36" s="5" t="s">
        <v>533</v>
      </c>
      <c r="H36" s="5" t="s">
        <v>34</v>
      </c>
      <c r="I36" s="8">
        <v>121.0</v>
      </c>
      <c r="J36" s="9" t="s">
        <v>35</v>
      </c>
      <c r="K36" s="5" t="s">
        <v>145</v>
      </c>
      <c r="L36" s="5" t="s">
        <v>34</v>
      </c>
      <c r="M36" s="10" t="s">
        <v>65</v>
      </c>
      <c r="N36" s="10" t="s">
        <v>128</v>
      </c>
      <c r="O36" s="10" t="s">
        <v>129</v>
      </c>
      <c r="P36" s="5" t="s">
        <v>534</v>
      </c>
      <c r="Q36" s="5" t="s">
        <v>534</v>
      </c>
      <c r="R36" s="5" t="s">
        <v>535</v>
      </c>
      <c r="S36" s="5" t="s">
        <v>536</v>
      </c>
      <c r="T36" s="5" t="s">
        <v>537</v>
      </c>
      <c r="U36" s="5" t="s">
        <v>534</v>
      </c>
      <c r="V36" s="5" t="s">
        <v>538</v>
      </c>
      <c r="W36" s="5" t="s">
        <v>539</v>
      </c>
      <c r="X36" s="5" t="s">
        <v>540</v>
      </c>
      <c r="Y36" s="5" t="s">
        <v>541</v>
      </c>
      <c r="Z36" s="5">
        <v>3.0</v>
      </c>
      <c r="AA36" s="5">
        <v>2026.0</v>
      </c>
      <c r="AB36" s="5" t="s">
        <v>34</v>
      </c>
    </row>
    <row r="37" ht="15.75" customHeight="1">
      <c r="A37" s="4" t="s">
        <v>542</v>
      </c>
      <c r="B37" s="5" t="s">
        <v>28</v>
      </c>
      <c r="C37" s="12" t="s">
        <v>543</v>
      </c>
      <c r="D37" s="7" t="s">
        <v>544</v>
      </c>
      <c r="E37" s="5"/>
      <c r="F37" s="5" t="s">
        <v>81</v>
      </c>
      <c r="G37" s="5" t="s">
        <v>517</v>
      </c>
      <c r="H37" s="5" t="s">
        <v>34</v>
      </c>
      <c r="I37" s="8">
        <v>93.0</v>
      </c>
      <c r="J37" s="9" t="s">
        <v>35</v>
      </c>
      <c r="K37" s="5" t="s">
        <v>518</v>
      </c>
      <c r="L37" s="5" t="s">
        <v>34</v>
      </c>
      <c r="M37" s="10" t="s">
        <v>65</v>
      </c>
      <c r="N37" s="10" t="s">
        <v>128</v>
      </c>
      <c r="O37" s="10" t="s">
        <v>129</v>
      </c>
      <c r="P37" s="5" t="s">
        <v>545</v>
      </c>
      <c r="Q37" s="5" t="s">
        <v>546</v>
      </c>
      <c r="R37" s="5"/>
      <c r="S37" s="5" t="s">
        <v>547</v>
      </c>
      <c r="T37" s="5" t="s">
        <v>548</v>
      </c>
      <c r="U37" s="5" t="s">
        <v>549</v>
      </c>
      <c r="V37" s="5" t="s">
        <v>550</v>
      </c>
      <c r="W37" s="5" t="s">
        <v>551</v>
      </c>
      <c r="X37" s="5" t="s">
        <v>552</v>
      </c>
      <c r="Y37" s="5" t="s">
        <v>553</v>
      </c>
      <c r="Z37" s="5">
        <v>4.0</v>
      </c>
      <c r="AA37" s="5">
        <v>2026.0</v>
      </c>
      <c r="AB37" s="5" t="s">
        <v>34</v>
      </c>
    </row>
    <row r="38" ht="15.75" customHeight="1">
      <c r="A38" s="4" t="s">
        <v>554</v>
      </c>
      <c r="B38" s="5" t="s">
        <v>28</v>
      </c>
      <c r="C38" s="12" t="s">
        <v>555</v>
      </c>
      <c r="D38" s="7" t="s">
        <v>556</v>
      </c>
      <c r="E38" s="5"/>
      <c r="F38" s="5" t="s">
        <v>81</v>
      </c>
      <c r="G38" s="5" t="s">
        <v>557</v>
      </c>
      <c r="H38" s="5" t="s">
        <v>34</v>
      </c>
      <c r="I38" s="8">
        <v>97.0</v>
      </c>
      <c r="J38" s="9" t="s">
        <v>35</v>
      </c>
      <c r="K38" s="5" t="s">
        <v>558</v>
      </c>
      <c r="L38" s="5" t="s">
        <v>34</v>
      </c>
      <c r="M38" s="5"/>
      <c r="N38" s="5"/>
      <c r="O38" s="5"/>
      <c r="P38" s="5" t="s">
        <v>559</v>
      </c>
      <c r="Q38" s="5" t="s">
        <v>560</v>
      </c>
      <c r="R38" s="5" t="s">
        <v>561</v>
      </c>
      <c r="S38" s="5" t="s">
        <v>562</v>
      </c>
      <c r="T38" s="5" t="s">
        <v>563</v>
      </c>
      <c r="U38" s="5" t="s">
        <v>564</v>
      </c>
      <c r="V38" s="5" t="s">
        <v>565</v>
      </c>
      <c r="W38" s="5" t="s">
        <v>566</v>
      </c>
      <c r="X38" s="5" t="s">
        <v>567</v>
      </c>
      <c r="Y38" s="5" t="s">
        <v>568</v>
      </c>
      <c r="Z38" s="5">
        <v>4.0</v>
      </c>
      <c r="AA38" s="5">
        <v>2026.0</v>
      </c>
      <c r="AB38" s="5" t="s">
        <v>34</v>
      </c>
    </row>
    <row r="39" ht="15.75" customHeight="1">
      <c r="A39" s="4" t="s">
        <v>569</v>
      </c>
      <c r="B39" s="5" t="s">
        <v>28</v>
      </c>
      <c r="C39" s="12" t="s">
        <v>570</v>
      </c>
      <c r="D39" s="7" t="s">
        <v>571</v>
      </c>
      <c r="E39" s="5" t="s">
        <v>572</v>
      </c>
      <c r="F39" s="5" t="s">
        <v>32</v>
      </c>
      <c r="G39" s="5" t="s">
        <v>573</v>
      </c>
      <c r="H39" s="5" t="s">
        <v>34</v>
      </c>
      <c r="I39" s="8">
        <v>96.0</v>
      </c>
      <c r="J39" s="9" t="s">
        <v>35</v>
      </c>
      <c r="K39" s="5" t="s">
        <v>573</v>
      </c>
      <c r="L39" s="5" t="s">
        <v>34</v>
      </c>
      <c r="M39" s="10" t="s">
        <v>65</v>
      </c>
      <c r="N39" s="10" t="s">
        <v>111</v>
      </c>
      <c r="O39" s="10" t="s">
        <v>574</v>
      </c>
      <c r="P39" s="5" t="s">
        <v>575</v>
      </c>
      <c r="Q39" s="5" t="s">
        <v>576</v>
      </c>
      <c r="R39" s="5" t="s">
        <v>577</v>
      </c>
      <c r="S39" s="5" t="s">
        <v>578</v>
      </c>
      <c r="T39" s="5" t="s">
        <v>579</v>
      </c>
      <c r="U39" s="5" t="s">
        <v>580</v>
      </c>
      <c r="V39" s="5" t="s">
        <v>581</v>
      </c>
      <c r="W39" s="5" t="s">
        <v>582</v>
      </c>
      <c r="X39" s="5" t="s">
        <v>583</v>
      </c>
      <c r="Y39" s="5" t="s">
        <v>584</v>
      </c>
      <c r="Z39" s="5">
        <v>3.0</v>
      </c>
      <c r="AA39" s="5">
        <v>2026.0</v>
      </c>
      <c r="AB39" s="5" t="s">
        <v>34</v>
      </c>
    </row>
    <row r="40" ht="15.75" customHeight="1">
      <c r="A40" s="4" t="s">
        <v>585</v>
      </c>
      <c r="B40" s="5" t="s">
        <v>28</v>
      </c>
      <c r="C40" s="12" t="s">
        <v>586</v>
      </c>
      <c r="D40" s="7" t="s">
        <v>587</v>
      </c>
      <c r="E40" s="5" t="s">
        <v>588</v>
      </c>
      <c r="F40" s="5" t="s">
        <v>32</v>
      </c>
      <c r="G40" s="5" t="s">
        <v>589</v>
      </c>
      <c r="H40" s="5" t="s">
        <v>34</v>
      </c>
      <c r="I40" s="8">
        <v>101.0</v>
      </c>
      <c r="J40" s="9" t="s">
        <v>98</v>
      </c>
      <c r="K40" s="5" t="s">
        <v>590</v>
      </c>
      <c r="L40" s="5" t="s">
        <v>34</v>
      </c>
      <c r="M40" s="5"/>
      <c r="N40" s="5"/>
      <c r="O40" s="5"/>
      <c r="P40" s="5" t="s">
        <v>591</v>
      </c>
      <c r="Q40" s="5" t="s">
        <v>592</v>
      </c>
      <c r="R40" s="5"/>
      <c r="S40" s="5" t="s">
        <v>593</v>
      </c>
      <c r="T40" s="5" t="s">
        <v>594</v>
      </c>
      <c r="U40" s="5" t="s">
        <v>595</v>
      </c>
      <c r="V40" s="5" t="s">
        <v>596</v>
      </c>
      <c r="W40" s="5" t="s">
        <v>597</v>
      </c>
      <c r="X40" s="5" t="s">
        <v>598</v>
      </c>
      <c r="Y40" s="5" t="s">
        <v>599</v>
      </c>
      <c r="Z40" s="5">
        <v>4.0</v>
      </c>
      <c r="AA40" s="5">
        <v>2025.0</v>
      </c>
      <c r="AB40" s="5" t="s">
        <v>34</v>
      </c>
    </row>
    <row r="41" ht="15.75" customHeight="1">
      <c r="A41" s="4" t="s">
        <v>600</v>
      </c>
      <c r="B41" s="5" t="s">
        <v>28</v>
      </c>
      <c r="C41" s="12" t="s">
        <v>601</v>
      </c>
      <c r="D41" s="7" t="s">
        <v>602</v>
      </c>
      <c r="E41" s="5" t="s">
        <v>603</v>
      </c>
      <c r="F41" s="5" t="s">
        <v>32</v>
      </c>
      <c r="G41" s="5" t="s">
        <v>219</v>
      </c>
      <c r="H41" s="5" t="s">
        <v>34</v>
      </c>
      <c r="I41" s="8">
        <v>126.0</v>
      </c>
      <c r="J41" s="9" t="s">
        <v>35</v>
      </c>
      <c r="K41" s="5" t="s">
        <v>219</v>
      </c>
      <c r="L41" s="5" t="s">
        <v>34</v>
      </c>
      <c r="M41" s="10" t="s">
        <v>65</v>
      </c>
      <c r="N41" s="10" t="s">
        <v>66</v>
      </c>
      <c r="O41" s="10" t="s">
        <v>129</v>
      </c>
      <c r="P41" s="5" t="s">
        <v>604</v>
      </c>
      <c r="Q41" s="5" t="s">
        <v>604</v>
      </c>
      <c r="R41" s="5" t="s">
        <v>605</v>
      </c>
      <c r="S41" s="5" t="s">
        <v>606</v>
      </c>
      <c r="T41" s="5" t="s">
        <v>607</v>
      </c>
      <c r="U41" s="5"/>
      <c r="V41" s="5"/>
      <c r="W41" s="5" t="s">
        <v>608</v>
      </c>
      <c r="X41" s="5" t="s">
        <v>609</v>
      </c>
      <c r="Y41" s="5" t="s">
        <v>610</v>
      </c>
      <c r="Z41" s="5">
        <v>3.0</v>
      </c>
      <c r="AA41" s="5">
        <v>2026.0</v>
      </c>
      <c r="AB41" s="5" t="s">
        <v>34</v>
      </c>
    </row>
    <row r="42" ht="15.75" customHeight="1">
      <c r="A42" s="4" t="s">
        <v>611</v>
      </c>
      <c r="B42" s="5" t="s">
        <v>28</v>
      </c>
      <c r="C42" s="12" t="s">
        <v>612</v>
      </c>
      <c r="D42" s="7" t="s">
        <v>613</v>
      </c>
      <c r="E42" s="5" t="s">
        <v>614</v>
      </c>
      <c r="F42" s="5" t="s">
        <v>32</v>
      </c>
      <c r="G42" s="5" t="s">
        <v>615</v>
      </c>
      <c r="H42" s="5" t="s">
        <v>34</v>
      </c>
      <c r="I42" s="8">
        <v>98.0</v>
      </c>
      <c r="J42" s="9" t="s">
        <v>35</v>
      </c>
      <c r="K42" s="5" t="s">
        <v>616</v>
      </c>
      <c r="L42" s="5" t="s">
        <v>34</v>
      </c>
      <c r="M42" s="5"/>
      <c r="N42" s="5"/>
      <c r="O42" s="5"/>
      <c r="P42" s="5" t="s">
        <v>617</v>
      </c>
      <c r="Q42" s="5" t="s">
        <v>617</v>
      </c>
      <c r="R42" s="5" t="s">
        <v>618</v>
      </c>
      <c r="S42" s="5" t="s">
        <v>619</v>
      </c>
      <c r="T42" s="5" t="s">
        <v>620</v>
      </c>
      <c r="U42" s="5" t="s">
        <v>621</v>
      </c>
      <c r="V42" s="5" t="s">
        <v>622</v>
      </c>
      <c r="W42" s="5" t="s">
        <v>623</v>
      </c>
      <c r="X42" s="5" t="s">
        <v>624</v>
      </c>
      <c r="Y42" s="5" t="s">
        <v>625</v>
      </c>
      <c r="Z42" s="5">
        <v>3.0</v>
      </c>
      <c r="AA42" s="5">
        <v>2026.0</v>
      </c>
      <c r="AB42" s="5" t="s">
        <v>34</v>
      </c>
    </row>
    <row r="43" ht="15.75" customHeight="1">
      <c r="A43" s="4" t="s">
        <v>626</v>
      </c>
      <c r="B43" s="5" t="s">
        <v>28</v>
      </c>
      <c r="C43" s="12" t="s">
        <v>627</v>
      </c>
      <c r="D43" s="7" t="s">
        <v>628</v>
      </c>
      <c r="E43" s="5" t="s">
        <v>629</v>
      </c>
      <c r="F43" s="5" t="s">
        <v>32</v>
      </c>
      <c r="G43" s="5" t="s">
        <v>630</v>
      </c>
      <c r="H43" s="5" t="s">
        <v>34</v>
      </c>
      <c r="I43" s="8">
        <v>157.0</v>
      </c>
      <c r="J43" s="9" t="s">
        <v>35</v>
      </c>
      <c r="K43" s="5" t="s">
        <v>630</v>
      </c>
      <c r="L43" s="5" t="s">
        <v>631</v>
      </c>
      <c r="M43" s="10" t="s">
        <v>65</v>
      </c>
      <c r="N43" s="10" t="s">
        <v>128</v>
      </c>
      <c r="O43" s="10" t="s">
        <v>129</v>
      </c>
      <c r="P43" s="5" t="s">
        <v>632</v>
      </c>
      <c r="Q43" s="5" t="s">
        <v>632</v>
      </c>
      <c r="R43" s="5" t="s">
        <v>633</v>
      </c>
      <c r="S43" s="5" t="s">
        <v>632</v>
      </c>
      <c r="T43" s="5" t="s">
        <v>634</v>
      </c>
      <c r="U43" s="5" t="s">
        <v>635</v>
      </c>
      <c r="V43" s="5" t="s">
        <v>636</v>
      </c>
      <c r="W43" s="5" t="s">
        <v>637</v>
      </c>
      <c r="X43" s="5" t="s">
        <v>638</v>
      </c>
      <c r="Y43" s="5" t="s">
        <v>639</v>
      </c>
      <c r="Z43" s="5">
        <v>3.0</v>
      </c>
      <c r="AA43" s="5">
        <v>2026.0</v>
      </c>
      <c r="AB43" s="5" t="s">
        <v>34</v>
      </c>
    </row>
    <row r="44" ht="15.75" customHeight="1">
      <c r="A44" s="4" t="s">
        <v>640</v>
      </c>
      <c r="B44" s="5" t="s">
        <v>28</v>
      </c>
      <c r="C44" s="12" t="s">
        <v>641</v>
      </c>
      <c r="D44" s="7" t="s">
        <v>642</v>
      </c>
      <c r="E44" s="5" t="s">
        <v>643</v>
      </c>
      <c r="F44" s="5" t="s">
        <v>32</v>
      </c>
      <c r="G44" s="5" t="s">
        <v>418</v>
      </c>
      <c r="H44" s="5" t="s">
        <v>34</v>
      </c>
      <c r="I44" s="8">
        <v>101.0</v>
      </c>
      <c r="J44" s="9" t="s">
        <v>35</v>
      </c>
      <c r="K44" s="5" t="s">
        <v>644</v>
      </c>
      <c r="L44" s="5" t="s">
        <v>34</v>
      </c>
      <c r="M44" s="10" t="s">
        <v>65</v>
      </c>
      <c r="N44" s="10" t="s">
        <v>128</v>
      </c>
      <c r="O44" s="10" t="s">
        <v>129</v>
      </c>
      <c r="P44" s="5" t="s">
        <v>645</v>
      </c>
      <c r="Q44" s="5" t="s">
        <v>646</v>
      </c>
      <c r="R44" s="5" t="s">
        <v>647</v>
      </c>
      <c r="S44" s="5" t="s">
        <v>648</v>
      </c>
      <c r="T44" s="5" t="s">
        <v>649</v>
      </c>
      <c r="U44" s="5" t="s">
        <v>650</v>
      </c>
      <c r="V44" s="5" t="s">
        <v>651</v>
      </c>
      <c r="W44" s="5" t="s">
        <v>652</v>
      </c>
      <c r="X44" s="5" t="s">
        <v>653</v>
      </c>
      <c r="Y44" s="5" t="s">
        <v>654</v>
      </c>
      <c r="Z44" s="5">
        <v>3.0</v>
      </c>
      <c r="AA44" s="5">
        <v>2026.0</v>
      </c>
      <c r="AB44" s="5" t="s">
        <v>34</v>
      </c>
    </row>
    <row r="45" ht="15.75" customHeight="1">
      <c r="A45" s="4" t="s">
        <v>655</v>
      </c>
      <c r="B45" s="5" t="s">
        <v>28</v>
      </c>
      <c r="C45" s="12" t="s">
        <v>656</v>
      </c>
      <c r="D45" s="7" t="s">
        <v>657</v>
      </c>
      <c r="E45" s="5" t="s">
        <v>658</v>
      </c>
      <c r="F45" s="5" t="s">
        <v>32</v>
      </c>
      <c r="G45" s="5" t="s">
        <v>246</v>
      </c>
      <c r="H45" s="5" t="s">
        <v>34</v>
      </c>
      <c r="I45" s="8">
        <v>116.0</v>
      </c>
      <c r="J45" s="9" t="s">
        <v>35</v>
      </c>
      <c r="K45" s="5" t="s">
        <v>659</v>
      </c>
      <c r="L45" s="5" t="s">
        <v>34</v>
      </c>
      <c r="M45" s="5"/>
      <c r="N45" s="5"/>
      <c r="O45" s="5"/>
      <c r="P45" s="5" t="s">
        <v>660</v>
      </c>
      <c r="Q45" s="5" t="s">
        <v>660</v>
      </c>
      <c r="R45" s="5" t="s">
        <v>661</v>
      </c>
      <c r="S45" s="5" t="s">
        <v>662</v>
      </c>
      <c r="T45" s="5" t="s">
        <v>660</v>
      </c>
      <c r="U45" s="5" t="s">
        <v>660</v>
      </c>
      <c r="V45" s="5" t="s">
        <v>663</v>
      </c>
      <c r="W45" s="5" t="s">
        <v>664</v>
      </c>
      <c r="X45" s="5" t="s">
        <v>665</v>
      </c>
      <c r="Y45" s="5" t="s">
        <v>666</v>
      </c>
      <c r="Z45" s="5">
        <v>3.0</v>
      </c>
      <c r="AA45" s="5">
        <v>2026.0</v>
      </c>
      <c r="AB45" s="5" t="s">
        <v>34</v>
      </c>
    </row>
    <row r="46" ht="15.75" customHeight="1">
      <c r="A46" s="4" t="s">
        <v>667</v>
      </c>
      <c r="B46" s="5" t="s">
        <v>28</v>
      </c>
      <c r="C46" s="12" t="s">
        <v>668</v>
      </c>
      <c r="D46" s="7" t="s">
        <v>669</v>
      </c>
      <c r="E46" s="5"/>
      <c r="F46" s="5" t="s">
        <v>81</v>
      </c>
      <c r="G46" s="5" t="s">
        <v>261</v>
      </c>
      <c r="H46" s="5" t="s">
        <v>34</v>
      </c>
      <c r="I46" s="8">
        <v>107.0</v>
      </c>
      <c r="J46" s="9" t="s">
        <v>35</v>
      </c>
      <c r="K46" s="5" t="s">
        <v>261</v>
      </c>
      <c r="L46" s="5" t="s">
        <v>34</v>
      </c>
      <c r="M46" s="5"/>
      <c r="N46" s="5"/>
      <c r="O46" s="5"/>
      <c r="P46" s="5" t="s">
        <v>670</v>
      </c>
      <c r="Q46" s="5" t="s">
        <v>670</v>
      </c>
      <c r="R46" s="5" t="s">
        <v>671</v>
      </c>
      <c r="S46" s="5" t="s">
        <v>672</v>
      </c>
      <c r="T46" s="5" t="s">
        <v>673</v>
      </c>
      <c r="U46" s="5" t="s">
        <v>674</v>
      </c>
      <c r="V46" s="5" t="s">
        <v>675</v>
      </c>
      <c r="W46" s="5" t="s">
        <v>676</v>
      </c>
      <c r="X46" s="5" t="s">
        <v>677</v>
      </c>
      <c r="Y46" s="5" t="s">
        <v>678</v>
      </c>
      <c r="Z46" s="5">
        <v>3.0</v>
      </c>
      <c r="AA46" s="5">
        <v>2026.0</v>
      </c>
      <c r="AB46" s="5" t="s">
        <v>34</v>
      </c>
    </row>
    <row r="47" ht="15.75" customHeight="1">
      <c r="A47" s="4" t="s">
        <v>679</v>
      </c>
      <c r="B47" s="5" t="s">
        <v>28</v>
      </c>
      <c r="C47" s="12" t="s">
        <v>680</v>
      </c>
      <c r="D47" s="7" t="s">
        <v>681</v>
      </c>
      <c r="E47" s="5" t="s">
        <v>682</v>
      </c>
      <c r="F47" s="5" t="s">
        <v>32</v>
      </c>
      <c r="G47" s="5" t="s">
        <v>683</v>
      </c>
      <c r="H47" s="5" t="s">
        <v>34</v>
      </c>
      <c r="I47" s="8">
        <v>123.0</v>
      </c>
      <c r="J47" s="9" t="s">
        <v>35</v>
      </c>
      <c r="K47" s="5" t="s">
        <v>684</v>
      </c>
      <c r="L47" s="5" t="s">
        <v>34</v>
      </c>
      <c r="M47" s="5"/>
      <c r="N47" s="5"/>
      <c r="O47" s="5"/>
      <c r="P47" s="5" t="s">
        <v>685</v>
      </c>
      <c r="Q47" s="5" t="s">
        <v>686</v>
      </c>
      <c r="R47" s="5" t="s">
        <v>687</v>
      </c>
      <c r="S47" s="5" t="s">
        <v>688</v>
      </c>
      <c r="T47" s="5" t="s">
        <v>689</v>
      </c>
      <c r="U47" s="5" t="s">
        <v>690</v>
      </c>
      <c r="V47" s="5" t="s">
        <v>691</v>
      </c>
      <c r="W47" s="5" t="s">
        <v>692</v>
      </c>
      <c r="X47" s="5" t="s">
        <v>693</v>
      </c>
      <c r="Y47" s="5" t="s">
        <v>694</v>
      </c>
      <c r="Z47" s="5">
        <v>3.0</v>
      </c>
      <c r="AA47" s="5">
        <v>2026.0</v>
      </c>
      <c r="AB47" s="5" t="s">
        <v>34</v>
      </c>
    </row>
    <row r="48" ht="15.75" customHeight="1">
      <c r="A48" s="4" t="s">
        <v>695</v>
      </c>
      <c r="B48" s="5" t="s">
        <v>28</v>
      </c>
      <c r="C48" s="12" t="s">
        <v>696</v>
      </c>
      <c r="D48" s="7" t="s">
        <v>697</v>
      </c>
      <c r="E48" s="5" t="s">
        <v>698</v>
      </c>
      <c r="F48" s="5" t="s">
        <v>32</v>
      </c>
      <c r="G48" s="5" t="s">
        <v>533</v>
      </c>
      <c r="H48" s="5" t="s">
        <v>34</v>
      </c>
      <c r="I48" s="8">
        <v>97.0</v>
      </c>
      <c r="J48" s="9" t="s">
        <v>35</v>
      </c>
      <c r="K48" s="5" t="s">
        <v>699</v>
      </c>
      <c r="L48" s="5" t="s">
        <v>34</v>
      </c>
      <c r="M48" s="10" t="s">
        <v>65</v>
      </c>
      <c r="N48" s="10" t="s">
        <v>66</v>
      </c>
      <c r="O48" s="10" t="s">
        <v>129</v>
      </c>
      <c r="P48" s="5" t="s">
        <v>700</v>
      </c>
      <c r="Q48" s="5" t="s">
        <v>701</v>
      </c>
      <c r="R48" s="5" t="s">
        <v>702</v>
      </c>
      <c r="S48" s="5" t="s">
        <v>703</v>
      </c>
      <c r="T48" s="5" t="s">
        <v>704</v>
      </c>
      <c r="U48" s="5" t="s">
        <v>705</v>
      </c>
      <c r="V48" s="5"/>
      <c r="W48" s="5" t="s">
        <v>706</v>
      </c>
      <c r="X48" s="5" t="s">
        <v>707</v>
      </c>
      <c r="Y48" s="5" t="s">
        <v>708</v>
      </c>
      <c r="Z48" s="5">
        <v>3.0</v>
      </c>
      <c r="AA48" s="5">
        <v>2026.0</v>
      </c>
      <c r="AB48" s="5" t="s">
        <v>34</v>
      </c>
    </row>
    <row r="49" ht="15.75" customHeight="1">
      <c r="A49" s="4" t="s">
        <v>709</v>
      </c>
      <c r="B49" s="5" t="s">
        <v>28</v>
      </c>
      <c r="C49" s="12" t="s">
        <v>710</v>
      </c>
      <c r="D49" s="7" t="s">
        <v>711</v>
      </c>
      <c r="E49" s="5" t="s">
        <v>712</v>
      </c>
      <c r="F49" s="5" t="s">
        <v>32</v>
      </c>
      <c r="G49" s="5" t="s">
        <v>713</v>
      </c>
      <c r="H49" s="5" t="s">
        <v>34</v>
      </c>
      <c r="I49" s="8">
        <v>102.0</v>
      </c>
      <c r="J49" s="9" t="s">
        <v>35</v>
      </c>
      <c r="K49" s="5" t="s">
        <v>714</v>
      </c>
      <c r="L49" s="5" t="s">
        <v>34</v>
      </c>
      <c r="M49" s="5"/>
      <c r="N49" s="5"/>
      <c r="O49" s="5"/>
      <c r="P49" s="5" t="s">
        <v>715</v>
      </c>
      <c r="Q49" s="5" t="s">
        <v>716</v>
      </c>
      <c r="R49" s="5" t="s">
        <v>717</v>
      </c>
      <c r="S49" s="5" t="s">
        <v>718</v>
      </c>
      <c r="T49" s="5" t="s">
        <v>719</v>
      </c>
      <c r="U49" s="5" t="s">
        <v>720</v>
      </c>
      <c r="V49" s="5" t="s">
        <v>721</v>
      </c>
      <c r="W49" s="5" t="s">
        <v>722</v>
      </c>
      <c r="X49" s="5" t="s">
        <v>723</v>
      </c>
      <c r="Y49" s="5" t="s">
        <v>724</v>
      </c>
      <c r="Z49" s="5">
        <v>3.0</v>
      </c>
      <c r="AA49" s="5">
        <v>2026.0</v>
      </c>
      <c r="AB49" s="5" t="s">
        <v>34</v>
      </c>
    </row>
    <row r="50" ht="15.75" customHeight="1">
      <c r="A50" s="4" t="s">
        <v>725</v>
      </c>
      <c r="B50" s="5" t="s">
        <v>28</v>
      </c>
      <c r="C50" s="12" t="s">
        <v>726</v>
      </c>
      <c r="D50" s="13" t="s">
        <v>727</v>
      </c>
      <c r="E50" s="5" t="s">
        <v>728</v>
      </c>
      <c r="F50" s="5" t="s">
        <v>32</v>
      </c>
      <c r="G50" s="5" t="s">
        <v>219</v>
      </c>
      <c r="H50" s="5" t="s">
        <v>34</v>
      </c>
      <c r="I50" s="8">
        <v>139.0</v>
      </c>
      <c r="J50" s="9" t="s">
        <v>35</v>
      </c>
      <c r="K50" s="5" t="s">
        <v>219</v>
      </c>
      <c r="L50" s="5" t="s">
        <v>34</v>
      </c>
      <c r="M50" s="10" t="s">
        <v>65</v>
      </c>
      <c r="N50" s="10" t="s">
        <v>66</v>
      </c>
      <c r="O50" s="10" t="s">
        <v>729</v>
      </c>
      <c r="P50" s="5" t="s">
        <v>730</v>
      </c>
      <c r="Q50" s="5" t="s">
        <v>730</v>
      </c>
      <c r="R50" s="5" t="s">
        <v>731</v>
      </c>
      <c r="S50" s="5"/>
      <c r="T50" s="5" t="s">
        <v>732</v>
      </c>
      <c r="U50" s="5" t="s">
        <v>733</v>
      </c>
      <c r="V50" s="5" t="s">
        <v>734</v>
      </c>
      <c r="W50" s="5" t="s">
        <v>735</v>
      </c>
      <c r="X50" s="5" t="s">
        <v>736</v>
      </c>
      <c r="Y50" s="5" t="s">
        <v>737</v>
      </c>
      <c r="Z50" s="5">
        <v>3.0</v>
      </c>
      <c r="AA50" s="5">
        <v>2026.0</v>
      </c>
      <c r="AB50" s="5" t="s">
        <v>34</v>
      </c>
    </row>
    <row r="51" ht="15.75" customHeight="1">
      <c r="A51" s="4" t="s">
        <v>738</v>
      </c>
      <c r="B51" s="5" t="s">
        <v>28</v>
      </c>
      <c r="C51" s="12" t="s">
        <v>739</v>
      </c>
      <c r="D51" s="7" t="s">
        <v>740</v>
      </c>
      <c r="E51" s="5" t="s">
        <v>741</v>
      </c>
      <c r="F51" s="5" t="s">
        <v>32</v>
      </c>
      <c r="G51" s="5" t="s">
        <v>742</v>
      </c>
      <c r="H51" s="5" t="s">
        <v>34</v>
      </c>
      <c r="I51" s="8">
        <v>158.0</v>
      </c>
      <c r="J51" s="9" t="s">
        <v>35</v>
      </c>
      <c r="K51" s="5" t="s">
        <v>419</v>
      </c>
      <c r="L51" s="5" t="s">
        <v>34</v>
      </c>
      <c r="M51" s="10" t="s">
        <v>65</v>
      </c>
      <c r="N51" s="10" t="s">
        <v>66</v>
      </c>
      <c r="O51" s="10" t="s">
        <v>129</v>
      </c>
      <c r="P51" s="5" t="s">
        <v>743</v>
      </c>
      <c r="Q51" s="5" t="s">
        <v>743</v>
      </c>
      <c r="R51" s="5" t="s">
        <v>744</v>
      </c>
      <c r="S51" s="5" t="s">
        <v>745</v>
      </c>
      <c r="T51" s="5" t="s">
        <v>746</v>
      </c>
      <c r="U51" s="5" t="s">
        <v>747</v>
      </c>
      <c r="V51" s="5"/>
      <c r="W51" s="5" t="s">
        <v>748</v>
      </c>
      <c r="X51" s="5" t="s">
        <v>749</v>
      </c>
      <c r="Y51" s="5" t="s">
        <v>750</v>
      </c>
      <c r="Z51" s="5">
        <v>3.0</v>
      </c>
      <c r="AA51" s="5">
        <v>2026.0</v>
      </c>
      <c r="AB51" s="5" t="s">
        <v>34</v>
      </c>
    </row>
    <row r="52" ht="15.75" customHeight="1">
      <c r="A52" s="4" t="s">
        <v>751</v>
      </c>
      <c r="B52" s="5" t="s">
        <v>28</v>
      </c>
      <c r="C52" s="12" t="s">
        <v>752</v>
      </c>
      <c r="D52" s="7" t="s">
        <v>753</v>
      </c>
      <c r="E52" s="5" t="s">
        <v>754</v>
      </c>
      <c r="F52" s="5" t="s">
        <v>32</v>
      </c>
      <c r="G52" s="5" t="s">
        <v>589</v>
      </c>
      <c r="H52" s="5" t="s">
        <v>34</v>
      </c>
      <c r="I52" s="8">
        <v>119.0</v>
      </c>
      <c r="J52" s="9" t="s">
        <v>35</v>
      </c>
      <c r="K52" s="5" t="s">
        <v>755</v>
      </c>
      <c r="L52" s="5" t="s">
        <v>34</v>
      </c>
      <c r="M52" s="5"/>
      <c r="N52" s="5"/>
      <c r="O52" s="5"/>
      <c r="P52" s="5" t="s">
        <v>756</v>
      </c>
      <c r="Q52" s="5" t="s">
        <v>756</v>
      </c>
      <c r="R52" s="5" t="s">
        <v>757</v>
      </c>
      <c r="S52" s="5" t="s">
        <v>758</v>
      </c>
      <c r="T52" s="5" t="s">
        <v>759</v>
      </c>
      <c r="U52" s="5" t="s">
        <v>760</v>
      </c>
      <c r="V52" s="5"/>
      <c r="W52" s="5" t="s">
        <v>761</v>
      </c>
      <c r="X52" s="5" t="s">
        <v>762</v>
      </c>
      <c r="Y52" s="5" t="s">
        <v>763</v>
      </c>
      <c r="Z52" s="5">
        <v>3.0</v>
      </c>
      <c r="AA52" s="5">
        <v>2026.0</v>
      </c>
      <c r="AB52" s="5" t="s">
        <v>34</v>
      </c>
    </row>
    <row r="53" ht="15.75" customHeight="1">
      <c r="A53" s="4" t="s">
        <v>764</v>
      </c>
      <c r="B53" s="5" t="s">
        <v>28</v>
      </c>
      <c r="C53" s="12" t="s">
        <v>765</v>
      </c>
      <c r="D53" s="7" t="s">
        <v>766</v>
      </c>
      <c r="E53" s="5" t="s">
        <v>767</v>
      </c>
      <c r="F53" s="5" t="s">
        <v>32</v>
      </c>
      <c r="G53" s="5" t="s">
        <v>64</v>
      </c>
      <c r="H53" s="5" t="s">
        <v>34</v>
      </c>
      <c r="I53" s="8">
        <v>104.0</v>
      </c>
      <c r="J53" s="9" t="s">
        <v>35</v>
      </c>
      <c r="K53" s="5" t="s">
        <v>64</v>
      </c>
      <c r="L53" s="5" t="s">
        <v>34</v>
      </c>
      <c r="M53" s="10" t="s">
        <v>65</v>
      </c>
      <c r="N53" s="10" t="s">
        <v>111</v>
      </c>
      <c r="O53" s="10" t="s">
        <v>112</v>
      </c>
      <c r="P53" s="5" t="s">
        <v>768</v>
      </c>
      <c r="Q53" s="5" t="s">
        <v>769</v>
      </c>
      <c r="R53" s="5" t="s">
        <v>770</v>
      </c>
      <c r="S53" s="5" t="s">
        <v>771</v>
      </c>
      <c r="T53" s="5" t="s">
        <v>772</v>
      </c>
      <c r="U53" s="5" t="s">
        <v>773</v>
      </c>
      <c r="V53" s="5" t="s">
        <v>774</v>
      </c>
      <c r="W53" s="5" t="s">
        <v>775</v>
      </c>
      <c r="X53" s="5" t="s">
        <v>776</v>
      </c>
      <c r="Y53" s="5" t="s">
        <v>777</v>
      </c>
      <c r="Z53" s="5">
        <v>3.0</v>
      </c>
      <c r="AA53" s="5">
        <v>2026.0</v>
      </c>
      <c r="AB53" s="5" t="s">
        <v>34</v>
      </c>
    </row>
    <row r="54" ht="15.75" customHeight="1">
      <c r="A54" s="4" t="s">
        <v>778</v>
      </c>
      <c r="B54" s="5" t="s">
        <v>28</v>
      </c>
      <c r="C54" s="12" t="s">
        <v>779</v>
      </c>
      <c r="D54" s="7" t="s">
        <v>780</v>
      </c>
      <c r="E54" s="5" t="s">
        <v>781</v>
      </c>
      <c r="F54" s="5" t="s">
        <v>32</v>
      </c>
      <c r="G54" s="5" t="s">
        <v>64</v>
      </c>
      <c r="H54" s="5" t="s">
        <v>34</v>
      </c>
      <c r="I54" s="8">
        <v>102.0</v>
      </c>
      <c r="J54" s="9" t="s">
        <v>35</v>
      </c>
      <c r="K54" s="5" t="s">
        <v>64</v>
      </c>
      <c r="L54" s="5" t="s">
        <v>34</v>
      </c>
      <c r="M54" s="10" t="s">
        <v>65</v>
      </c>
      <c r="N54" s="10" t="s">
        <v>111</v>
      </c>
      <c r="O54" s="10" t="s">
        <v>112</v>
      </c>
      <c r="P54" s="5" t="s">
        <v>782</v>
      </c>
      <c r="Q54" s="5" t="s">
        <v>783</v>
      </c>
      <c r="R54" s="5" t="s">
        <v>784</v>
      </c>
      <c r="S54" s="5" t="s">
        <v>785</v>
      </c>
      <c r="T54" s="5" t="s">
        <v>786</v>
      </c>
      <c r="U54" s="5" t="s">
        <v>773</v>
      </c>
      <c r="V54" s="5" t="s">
        <v>787</v>
      </c>
      <c r="W54" s="5" t="s">
        <v>788</v>
      </c>
      <c r="X54" s="5" t="s">
        <v>789</v>
      </c>
      <c r="Y54" s="5" t="s">
        <v>790</v>
      </c>
      <c r="Z54" s="5">
        <v>3.0</v>
      </c>
      <c r="AA54" s="5">
        <v>2026.0</v>
      </c>
      <c r="AB54" s="5" t="s">
        <v>34</v>
      </c>
    </row>
    <row r="55" ht="15.75" customHeight="1">
      <c r="A55" s="4" t="s">
        <v>791</v>
      </c>
      <c r="B55" s="5" t="s">
        <v>28</v>
      </c>
      <c r="C55" s="12" t="s">
        <v>792</v>
      </c>
      <c r="D55" s="7" t="s">
        <v>793</v>
      </c>
      <c r="E55" s="5" t="s">
        <v>794</v>
      </c>
      <c r="F55" s="5" t="s">
        <v>32</v>
      </c>
      <c r="G55" s="5" t="s">
        <v>64</v>
      </c>
      <c r="H55" s="5" t="s">
        <v>795</v>
      </c>
      <c r="I55" s="8">
        <v>67.0</v>
      </c>
      <c r="J55" s="9" t="s">
        <v>35</v>
      </c>
      <c r="K55" s="5" t="s">
        <v>64</v>
      </c>
      <c r="L55" s="5" t="s">
        <v>795</v>
      </c>
      <c r="M55" s="5"/>
      <c r="N55" s="5"/>
      <c r="O55" s="5"/>
      <c r="P55" s="5" t="s">
        <v>796</v>
      </c>
      <c r="Q55" s="5" t="s">
        <v>796</v>
      </c>
      <c r="R55" s="5" t="s">
        <v>100</v>
      </c>
      <c r="S55" s="5" t="s">
        <v>797</v>
      </c>
      <c r="T55" s="5" t="s">
        <v>796</v>
      </c>
      <c r="U55" s="5" t="s">
        <v>798</v>
      </c>
      <c r="V55" s="5" t="s">
        <v>799</v>
      </c>
      <c r="W55" s="5" t="s">
        <v>800</v>
      </c>
      <c r="X55" s="5" t="s">
        <v>801</v>
      </c>
      <c r="Y55" s="5" t="s">
        <v>802</v>
      </c>
      <c r="Z55" s="5">
        <v>3.0</v>
      </c>
      <c r="AA55" s="5">
        <v>2026.0</v>
      </c>
      <c r="AB55" s="5" t="s">
        <v>795</v>
      </c>
    </row>
    <row r="56" ht="15.75" customHeight="1">
      <c r="A56" s="4" t="s">
        <v>803</v>
      </c>
      <c r="B56" s="5" t="s">
        <v>28</v>
      </c>
      <c r="C56" s="12" t="s">
        <v>804</v>
      </c>
      <c r="D56" s="7" t="s">
        <v>805</v>
      </c>
      <c r="E56" s="5"/>
      <c r="F56" s="5" t="s">
        <v>81</v>
      </c>
      <c r="G56" s="5" t="s">
        <v>33</v>
      </c>
      <c r="H56" s="5" t="s">
        <v>34</v>
      </c>
      <c r="I56" s="8">
        <v>112.0</v>
      </c>
      <c r="J56" s="9" t="s">
        <v>35</v>
      </c>
      <c r="K56" s="5" t="s">
        <v>33</v>
      </c>
      <c r="L56" s="5" t="s">
        <v>34</v>
      </c>
      <c r="M56" s="5"/>
      <c r="N56" s="5"/>
      <c r="O56" s="5"/>
      <c r="P56" s="5" t="s">
        <v>806</v>
      </c>
      <c r="Q56" s="5" t="s">
        <v>806</v>
      </c>
      <c r="R56" s="5" t="s">
        <v>807</v>
      </c>
      <c r="S56" s="5" t="s">
        <v>808</v>
      </c>
      <c r="T56" s="5" t="s">
        <v>809</v>
      </c>
      <c r="U56" s="5" t="s">
        <v>810</v>
      </c>
      <c r="V56" s="5" t="s">
        <v>811</v>
      </c>
      <c r="W56" s="5" t="s">
        <v>812</v>
      </c>
      <c r="X56" s="5" t="s">
        <v>813</v>
      </c>
      <c r="Y56" s="5" t="s">
        <v>814</v>
      </c>
      <c r="Z56" s="5">
        <v>3.0</v>
      </c>
      <c r="AA56" s="5">
        <v>2026.0</v>
      </c>
      <c r="AB56" s="5" t="s">
        <v>34</v>
      </c>
    </row>
    <row r="57" ht="15.75" customHeight="1">
      <c r="A57" s="4" t="s">
        <v>815</v>
      </c>
      <c r="B57" s="5" t="s">
        <v>816</v>
      </c>
      <c r="C57" s="12" t="s">
        <v>817</v>
      </c>
      <c r="D57" s="7" t="s">
        <v>818</v>
      </c>
      <c r="E57" s="5" t="s">
        <v>819</v>
      </c>
      <c r="F57" s="5" t="s">
        <v>32</v>
      </c>
      <c r="G57" s="5" t="s">
        <v>820</v>
      </c>
      <c r="H57" s="5" t="s">
        <v>34</v>
      </c>
      <c r="I57" s="8">
        <v>96.0</v>
      </c>
      <c r="J57" s="9" t="s">
        <v>35</v>
      </c>
      <c r="K57" s="5" t="s">
        <v>821</v>
      </c>
      <c r="L57" s="5" t="s">
        <v>34</v>
      </c>
      <c r="M57" s="5"/>
      <c r="N57" s="5"/>
      <c r="O57" s="5"/>
      <c r="P57" s="5" t="s">
        <v>822</v>
      </c>
      <c r="Q57" s="5" t="s">
        <v>823</v>
      </c>
      <c r="R57" s="5" t="s">
        <v>824</v>
      </c>
      <c r="S57" s="5" t="s">
        <v>825</v>
      </c>
      <c r="T57" s="5" t="s">
        <v>826</v>
      </c>
      <c r="U57" s="5" t="s">
        <v>827</v>
      </c>
      <c r="V57" s="5" t="s">
        <v>828</v>
      </c>
      <c r="W57" s="5" t="s">
        <v>829</v>
      </c>
      <c r="X57" s="5" t="s">
        <v>830</v>
      </c>
      <c r="Y57" s="5" t="s">
        <v>831</v>
      </c>
      <c r="Z57" s="5">
        <v>3.0</v>
      </c>
      <c r="AA57" s="5">
        <v>2026.0</v>
      </c>
      <c r="AB57" s="5" t="s">
        <v>34</v>
      </c>
    </row>
    <row r="58" ht="15.75" customHeight="1">
      <c r="A58" s="4" t="s">
        <v>832</v>
      </c>
      <c r="B58" s="5" t="s">
        <v>816</v>
      </c>
      <c r="C58" s="12" t="str">
        <f>"https://" &amp; "letterboxd" &amp; ".com/film/9-temples-vers-le-ciel/"</f>
        <v>https://letterboxd.com/film/9-temples-vers-le-ciel/</v>
      </c>
      <c r="D58" s="7" t="s">
        <v>833</v>
      </c>
      <c r="E58" s="5" t="s">
        <v>834</v>
      </c>
      <c r="F58" s="5" t="s">
        <v>32</v>
      </c>
      <c r="G58" s="5" t="s">
        <v>835</v>
      </c>
      <c r="H58" s="5" t="s">
        <v>34</v>
      </c>
      <c r="I58" s="8">
        <v>140.0</v>
      </c>
      <c r="J58" s="9" t="s">
        <v>35</v>
      </c>
      <c r="K58" s="5" t="s">
        <v>835</v>
      </c>
      <c r="L58" s="5" t="s">
        <v>34</v>
      </c>
      <c r="M58" s="10" t="s">
        <v>65</v>
      </c>
      <c r="N58" s="10" t="s">
        <v>66</v>
      </c>
      <c r="O58" s="10" t="s">
        <v>836</v>
      </c>
      <c r="P58" s="5" t="s">
        <v>837</v>
      </c>
      <c r="Q58" s="5" t="s">
        <v>837</v>
      </c>
      <c r="R58" s="5" t="s">
        <v>838</v>
      </c>
      <c r="S58" s="5"/>
      <c r="T58" s="5" t="s">
        <v>839</v>
      </c>
      <c r="U58" s="5" t="s">
        <v>840</v>
      </c>
      <c r="V58" s="5"/>
      <c r="W58" s="5" t="s">
        <v>841</v>
      </c>
      <c r="X58" s="5" t="s">
        <v>842</v>
      </c>
      <c r="Y58" s="5" t="s">
        <v>843</v>
      </c>
      <c r="Z58" s="5">
        <v>4.0</v>
      </c>
      <c r="AA58" s="5">
        <v>2026.0</v>
      </c>
      <c r="AB58" s="5" t="s">
        <v>34</v>
      </c>
    </row>
    <row r="59" ht="15.75" customHeight="1">
      <c r="A59" s="4" t="s">
        <v>844</v>
      </c>
      <c r="B59" s="5" t="s">
        <v>816</v>
      </c>
      <c r="C59" s="12" t="str">
        <f>"https://" &amp; "letterboxd" &amp; ".com/film/la-buena-hija/"</f>
        <v>https://letterboxd.com/film/la-buena-hija/</v>
      </c>
      <c r="D59" s="7" t="s">
        <v>845</v>
      </c>
      <c r="E59" s="5" t="s">
        <v>846</v>
      </c>
      <c r="F59" s="5" t="s">
        <v>32</v>
      </c>
      <c r="G59" s="5" t="s">
        <v>847</v>
      </c>
      <c r="H59" s="5" t="s">
        <v>34</v>
      </c>
      <c r="I59" s="8">
        <v>103.0</v>
      </c>
      <c r="J59" s="9" t="s">
        <v>98</v>
      </c>
      <c r="K59" s="5" t="s">
        <v>847</v>
      </c>
      <c r="L59" s="5" t="s">
        <v>34</v>
      </c>
      <c r="M59" s="5"/>
      <c r="N59" s="5"/>
      <c r="O59" s="5"/>
      <c r="P59" s="5" t="s">
        <v>848</v>
      </c>
      <c r="Q59" s="5" t="s">
        <v>849</v>
      </c>
      <c r="R59" s="5" t="s">
        <v>850</v>
      </c>
      <c r="S59" s="5" t="s">
        <v>851</v>
      </c>
      <c r="T59" s="5" t="s">
        <v>852</v>
      </c>
      <c r="U59" s="5" t="s">
        <v>853</v>
      </c>
      <c r="V59" s="5" t="s">
        <v>854</v>
      </c>
      <c r="W59" s="5" t="s">
        <v>855</v>
      </c>
      <c r="X59" s="5" t="s">
        <v>856</v>
      </c>
      <c r="Y59" s="5" t="s">
        <v>857</v>
      </c>
      <c r="Z59" s="5">
        <v>3.0</v>
      </c>
      <c r="AA59" s="5">
        <v>2025.0</v>
      </c>
      <c r="AB59" s="5" t="s">
        <v>34</v>
      </c>
    </row>
    <row r="60" ht="15.75" customHeight="1">
      <c r="A60" s="4" t="s">
        <v>858</v>
      </c>
      <c r="B60" s="5" t="s">
        <v>816</v>
      </c>
      <c r="C60" s="12" t="str">
        <f>"https://" &amp; "letterboxd" &amp; ".com/film/jiuri-ganeun-gil/"</f>
        <v>https://letterboxd.com/film/jiuri-ganeun-gil/</v>
      </c>
      <c r="D60" s="7" t="s">
        <v>859</v>
      </c>
      <c r="E60" s="5" t="s">
        <v>860</v>
      </c>
      <c r="F60" s="5" t="s">
        <v>32</v>
      </c>
      <c r="G60" s="5" t="s">
        <v>449</v>
      </c>
      <c r="H60" s="5" t="s">
        <v>34</v>
      </c>
      <c r="I60" s="8">
        <v>105.0</v>
      </c>
      <c r="J60" s="9" t="s">
        <v>98</v>
      </c>
      <c r="K60" s="5" t="s">
        <v>449</v>
      </c>
      <c r="L60" s="5" t="s">
        <v>34</v>
      </c>
      <c r="M60" s="5"/>
      <c r="N60" s="5"/>
      <c r="O60" s="5"/>
      <c r="P60" s="5" t="s">
        <v>861</v>
      </c>
      <c r="Q60" s="5" t="s">
        <v>861</v>
      </c>
      <c r="R60" s="5" t="s">
        <v>862</v>
      </c>
      <c r="S60" s="5" t="s">
        <v>863</v>
      </c>
      <c r="T60" s="5" t="s">
        <v>864</v>
      </c>
      <c r="U60" s="5" t="s">
        <v>861</v>
      </c>
      <c r="V60" s="5" t="s">
        <v>865</v>
      </c>
      <c r="W60" s="5" t="s">
        <v>866</v>
      </c>
      <c r="X60" s="5" t="s">
        <v>867</v>
      </c>
      <c r="Y60" s="5" t="s">
        <v>868</v>
      </c>
      <c r="Z60" s="5">
        <v>3.0</v>
      </c>
      <c r="AA60" s="5">
        <v>2025.0</v>
      </c>
      <c r="AB60" s="5" t="s">
        <v>34</v>
      </c>
    </row>
    <row r="61" ht="15.75" customHeight="1">
      <c r="A61" s="4" t="s">
        <v>869</v>
      </c>
      <c r="B61" s="5" t="s">
        <v>816</v>
      </c>
      <c r="C61" s="12" t="s">
        <v>870</v>
      </c>
      <c r="D61" s="7" t="s">
        <v>871</v>
      </c>
      <c r="E61" s="5" t="s">
        <v>872</v>
      </c>
      <c r="F61" s="5" t="s">
        <v>32</v>
      </c>
      <c r="G61" s="5" t="s">
        <v>126</v>
      </c>
      <c r="H61" s="5" t="s">
        <v>34</v>
      </c>
      <c r="I61" s="8">
        <v>114.0</v>
      </c>
      <c r="J61" s="9" t="s">
        <v>35</v>
      </c>
      <c r="K61" s="5" t="s">
        <v>873</v>
      </c>
      <c r="L61" s="5" t="s">
        <v>34</v>
      </c>
      <c r="M61" s="5"/>
      <c r="N61" s="5"/>
      <c r="O61" s="5"/>
      <c r="P61" s="5" t="s">
        <v>874</v>
      </c>
      <c r="Q61" s="5" t="s">
        <v>875</v>
      </c>
      <c r="R61" s="5" t="s">
        <v>876</v>
      </c>
      <c r="S61" s="5" t="s">
        <v>877</v>
      </c>
      <c r="T61" s="5" t="s">
        <v>878</v>
      </c>
      <c r="U61" s="5" t="s">
        <v>879</v>
      </c>
      <c r="V61" s="5" t="s">
        <v>880</v>
      </c>
      <c r="W61" s="5" t="s">
        <v>881</v>
      </c>
      <c r="X61" s="5" t="s">
        <v>882</v>
      </c>
      <c r="Y61" s="5" t="s">
        <v>883</v>
      </c>
      <c r="Z61" s="5">
        <v>3.0</v>
      </c>
      <c r="AA61" s="5">
        <v>2026.0</v>
      </c>
      <c r="AB61" s="5" t="s">
        <v>34</v>
      </c>
    </row>
    <row r="62" ht="15.75" customHeight="1">
      <c r="A62" s="4" t="s">
        <v>884</v>
      </c>
      <c r="B62" s="5" t="s">
        <v>816</v>
      </c>
      <c r="C62" s="12" t="s">
        <v>885</v>
      </c>
      <c r="D62" s="7" t="s">
        <v>886</v>
      </c>
      <c r="E62" s="5" t="s">
        <v>887</v>
      </c>
      <c r="F62" s="5" t="s">
        <v>32</v>
      </c>
      <c r="G62" s="5" t="s">
        <v>418</v>
      </c>
      <c r="H62" s="5" t="s">
        <v>34</v>
      </c>
      <c r="I62" s="8">
        <v>145.0</v>
      </c>
      <c r="J62" s="9" t="s">
        <v>35</v>
      </c>
      <c r="K62" s="5" t="s">
        <v>888</v>
      </c>
      <c r="L62" s="5" t="s">
        <v>34</v>
      </c>
      <c r="M62" s="10" t="s">
        <v>65</v>
      </c>
      <c r="N62" s="10" t="s">
        <v>66</v>
      </c>
      <c r="O62" s="10" t="s">
        <v>889</v>
      </c>
      <c r="P62" s="5" t="s">
        <v>890</v>
      </c>
      <c r="Q62" s="5" t="s">
        <v>891</v>
      </c>
      <c r="R62" s="5" t="s">
        <v>892</v>
      </c>
      <c r="S62" s="5" t="s">
        <v>893</v>
      </c>
      <c r="T62" s="5" t="s">
        <v>894</v>
      </c>
      <c r="U62" s="5" t="s">
        <v>895</v>
      </c>
      <c r="V62" s="5"/>
      <c r="W62" s="5" t="s">
        <v>896</v>
      </c>
      <c r="X62" s="5" t="s">
        <v>897</v>
      </c>
      <c r="Y62" s="5" t="s">
        <v>898</v>
      </c>
      <c r="Z62" s="5">
        <v>3.0</v>
      </c>
      <c r="AA62" s="5">
        <v>2026.0</v>
      </c>
      <c r="AB62" s="5" t="s">
        <v>34</v>
      </c>
    </row>
    <row r="63" ht="15.75" customHeight="1">
      <c r="A63" s="4" t="s">
        <v>899</v>
      </c>
      <c r="B63" s="5" t="s">
        <v>816</v>
      </c>
      <c r="C63" s="12" t="s">
        <v>900</v>
      </c>
      <c r="D63" s="7" t="s">
        <v>901</v>
      </c>
      <c r="E63" s="5" t="s">
        <v>902</v>
      </c>
      <c r="F63" s="5" t="s">
        <v>32</v>
      </c>
      <c r="G63" s="5" t="s">
        <v>903</v>
      </c>
      <c r="H63" s="5" t="s">
        <v>34</v>
      </c>
      <c r="I63" s="8">
        <v>128.0</v>
      </c>
      <c r="J63" s="9" t="s">
        <v>98</v>
      </c>
      <c r="K63" s="5" t="s">
        <v>904</v>
      </c>
      <c r="L63" s="5" t="s">
        <v>34</v>
      </c>
      <c r="M63" s="5"/>
      <c r="N63" s="5"/>
      <c r="O63" s="5"/>
      <c r="P63" s="5" t="s">
        <v>905</v>
      </c>
      <c r="Q63" s="5" t="s">
        <v>906</v>
      </c>
      <c r="R63" s="5" t="s">
        <v>907</v>
      </c>
      <c r="S63" s="5" t="s">
        <v>908</v>
      </c>
      <c r="T63" s="5" t="s">
        <v>909</v>
      </c>
      <c r="U63" s="5" t="s">
        <v>910</v>
      </c>
      <c r="V63" s="5" t="s">
        <v>911</v>
      </c>
      <c r="W63" s="5" t="s">
        <v>912</v>
      </c>
      <c r="X63" s="5" t="s">
        <v>913</v>
      </c>
      <c r="Y63" s="5" t="s">
        <v>914</v>
      </c>
      <c r="Z63" s="5">
        <v>3.0</v>
      </c>
      <c r="AA63" s="5">
        <v>2025.0</v>
      </c>
      <c r="AB63" s="5" t="s">
        <v>34</v>
      </c>
    </row>
    <row r="64" ht="15.75" customHeight="1">
      <c r="A64" s="4" t="s">
        <v>915</v>
      </c>
      <c r="B64" s="5" t="s">
        <v>816</v>
      </c>
      <c r="C64" s="12" t="str">
        <f>"https://" &amp; "letterboxd" &amp; ".com/film/la-mas-dulce/"</f>
        <v>https://letterboxd.com/film/la-mas-dulce/</v>
      </c>
      <c r="D64" s="7" t="s">
        <v>916</v>
      </c>
      <c r="E64" s="5" t="s">
        <v>917</v>
      </c>
      <c r="F64" s="5" t="s">
        <v>32</v>
      </c>
      <c r="G64" s="5" t="s">
        <v>918</v>
      </c>
      <c r="H64" s="5" t="s">
        <v>34</v>
      </c>
      <c r="I64" s="8">
        <v>113.0</v>
      </c>
      <c r="J64" s="9" t="s">
        <v>35</v>
      </c>
      <c r="K64" s="5" t="s">
        <v>919</v>
      </c>
      <c r="L64" s="5" t="s">
        <v>34</v>
      </c>
      <c r="M64" s="10" t="s">
        <v>65</v>
      </c>
      <c r="N64" s="10" t="s">
        <v>66</v>
      </c>
      <c r="O64" s="10" t="s">
        <v>729</v>
      </c>
      <c r="P64" s="5" t="s">
        <v>920</v>
      </c>
      <c r="Q64" s="5" t="s">
        <v>921</v>
      </c>
      <c r="R64" s="5" t="s">
        <v>922</v>
      </c>
      <c r="S64" s="5" t="s">
        <v>923</v>
      </c>
      <c r="T64" s="5" t="s">
        <v>924</v>
      </c>
      <c r="U64" s="5" t="s">
        <v>925</v>
      </c>
      <c r="V64" s="5" t="s">
        <v>926</v>
      </c>
      <c r="W64" s="5" t="s">
        <v>927</v>
      </c>
      <c r="X64" s="5" t="s">
        <v>928</v>
      </c>
      <c r="Y64" s="5" t="s">
        <v>929</v>
      </c>
      <c r="Z64" s="5">
        <v>3.0</v>
      </c>
      <c r="AA64" s="5">
        <v>2026.0</v>
      </c>
      <c r="AB64" s="5" t="s">
        <v>34</v>
      </c>
    </row>
    <row r="65" ht="15.75" customHeight="1">
      <c r="A65" s="4" t="s">
        <v>930</v>
      </c>
      <c r="B65" s="5" t="s">
        <v>816</v>
      </c>
      <c r="C65" s="12" t="str">
        <f>"https://" &amp; "letterboxd" &amp; ".com/film/staatsschutz/"</f>
        <v>https://letterboxd.com/film/staatsschutz/</v>
      </c>
      <c r="D65" s="7" t="s">
        <v>931</v>
      </c>
      <c r="E65" s="5" t="s">
        <v>932</v>
      </c>
      <c r="F65" s="5" t="s">
        <v>32</v>
      </c>
      <c r="G65" s="5" t="s">
        <v>289</v>
      </c>
      <c r="H65" s="5" t="s">
        <v>34</v>
      </c>
      <c r="I65" s="8">
        <v>114.0</v>
      </c>
      <c r="J65" s="9" t="s">
        <v>35</v>
      </c>
      <c r="K65" s="5" t="s">
        <v>289</v>
      </c>
      <c r="L65" s="5" t="s">
        <v>34</v>
      </c>
      <c r="M65" s="5"/>
      <c r="N65" s="5"/>
      <c r="O65" s="5"/>
      <c r="P65" s="5" t="s">
        <v>933</v>
      </c>
      <c r="Q65" s="5" t="s">
        <v>934</v>
      </c>
      <c r="R65" s="5" t="s">
        <v>935</v>
      </c>
      <c r="S65" s="5" t="s">
        <v>936</v>
      </c>
      <c r="T65" s="5" t="s">
        <v>937</v>
      </c>
      <c r="U65" s="5" t="s">
        <v>938</v>
      </c>
      <c r="V65" s="5" t="s">
        <v>939</v>
      </c>
      <c r="W65" s="5" t="s">
        <v>940</v>
      </c>
      <c r="X65" s="5" t="s">
        <v>941</v>
      </c>
      <c r="Y65" s="5" t="s">
        <v>942</v>
      </c>
      <c r="Z65" s="5">
        <v>3.0</v>
      </c>
      <c r="AA65" s="5">
        <v>2026.0</v>
      </c>
      <c r="AB65" s="5" t="s">
        <v>34</v>
      </c>
    </row>
    <row r="66" ht="15.75" customHeight="1">
      <c r="A66" s="4" t="s">
        <v>943</v>
      </c>
      <c r="B66" s="5" t="s">
        <v>816</v>
      </c>
      <c r="C66" s="12" t="s">
        <v>944</v>
      </c>
      <c r="D66" s="7" t="s">
        <v>945</v>
      </c>
      <c r="E66" s="5"/>
      <c r="F66" s="5" t="s">
        <v>81</v>
      </c>
      <c r="G66" s="5" t="s">
        <v>289</v>
      </c>
      <c r="H66" s="5" t="s">
        <v>34</v>
      </c>
      <c r="I66" s="8">
        <v>100.0</v>
      </c>
      <c r="J66" s="9" t="s">
        <v>35</v>
      </c>
      <c r="K66" s="5" t="s">
        <v>289</v>
      </c>
      <c r="L66" s="5" t="s">
        <v>34</v>
      </c>
      <c r="M66" s="5"/>
      <c r="N66" s="5"/>
      <c r="O66" s="5"/>
      <c r="P66" s="5" t="s">
        <v>946</v>
      </c>
      <c r="Q66" s="5" t="s">
        <v>947</v>
      </c>
      <c r="R66" s="5" t="s">
        <v>948</v>
      </c>
      <c r="S66" s="5" t="s">
        <v>949</v>
      </c>
      <c r="T66" s="5" t="s">
        <v>950</v>
      </c>
      <c r="U66" s="5" t="s">
        <v>951</v>
      </c>
      <c r="V66" s="5" t="s">
        <v>952</v>
      </c>
      <c r="W66" s="5" t="s">
        <v>953</v>
      </c>
      <c r="X66" s="5" t="s">
        <v>954</v>
      </c>
      <c r="Y66" s="5" t="s">
        <v>955</v>
      </c>
      <c r="Z66" s="5">
        <v>3.0</v>
      </c>
      <c r="AA66" s="5">
        <v>2026.0</v>
      </c>
      <c r="AB66" s="5" t="s">
        <v>34</v>
      </c>
    </row>
    <row r="67" ht="15.75" customHeight="1">
      <c r="A67" s="4" t="s">
        <v>956</v>
      </c>
      <c r="B67" s="5" t="s">
        <v>816</v>
      </c>
      <c r="C67" s="12" t="str">
        <f>"https://" &amp; "letterboxd" &amp; ".com/film/prima-della-guerra/"</f>
        <v>https://letterboxd.com/film/prima-della-guerra/</v>
      </c>
      <c r="D67" s="7" t="s">
        <v>957</v>
      </c>
      <c r="E67" s="5" t="s">
        <v>958</v>
      </c>
      <c r="F67" s="5" t="s">
        <v>32</v>
      </c>
      <c r="G67" s="5" t="s">
        <v>418</v>
      </c>
      <c r="H67" s="5" t="s">
        <v>34</v>
      </c>
      <c r="I67" s="8">
        <v>76.0</v>
      </c>
      <c r="J67" s="9" t="s">
        <v>35</v>
      </c>
      <c r="K67" s="5" t="s">
        <v>888</v>
      </c>
      <c r="L67" s="5" t="s">
        <v>34</v>
      </c>
      <c r="M67" s="5"/>
      <c r="N67" s="5"/>
      <c r="O67" s="5"/>
      <c r="P67" s="5" t="s">
        <v>959</v>
      </c>
      <c r="Q67" s="5" t="s">
        <v>959</v>
      </c>
      <c r="R67" s="5" t="s">
        <v>960</v>
      </c>
      <c r="S67" s="5" t="s">
        <v>961</v>
      </c>
      <c r="T67" s="5" t="s">
        <v>962</v>
      </c>
      <c r="U67" s="5" t="s">
        <v>963</v>
      </c>
      <c r="V67" s="5"/>
      <c r="W67" s="5" t="s">
        <v>964</v>
      </c>
      <c r="X67" s="5" t="s">
        <v>965</v>
      </c>
      <c r="Y67" s="5" t="s">
        <v>966</v>
      </c>
      <c r="Z67" s="5">
        <v>3.0</v>
      </c>
      <c r="AA67" s="5">
        <v>2026.0</v>
      </c>
      <c r="AB67" s="5" t="s">
        <v>34</v>
      </c>
    </row>
    <row r="68" ht="15.75" customHeight="1">
      <c r="A68" s="4" t="s">
        <v>967</v>
      </c>
      <c r="B68" s="5" t="s">
        <v>816</v>
      </c>
      <c r="C68" s="12" t="str">
        <f>"https://" &amp; "letterboxd" &amp; ".com/film/le-rose-di-marrakech/"</f>
        <v>https://letterboxd.com/film/le-rose-di-marrakech/</v>
      </c>
      <c r="D68" s="7" t="s">
        <v>968</v>
      </c>
      <c r="E68" s="5" t="s">
        <v>969</v>
      </c>
      <c r="F68" s="5" t="s">
        <v>32</v>
      </c>
      <c r="G68" s="5" t="s">
        <v>970</v>
      </c>
      <c r="H68" s="5" t="s">
        <v>34</v>
      </c>
      <c r="I68" s="8">
        <v>90.0</v>
      </c>
      <c r="J68" s="9" t="s">
        <v>35</v>
      </c>
      <c r="K68" s="5" t="s">
        <v>971</v>
      </c>
      <c r="L68" s="5" t="s">
        <v>34</v>
      </c>
      <c r="M68" s="5"/>
      <c r="N68" s="5"/>
      <c r="O68" s="5"/>
      <c r="P68" s="5" t="s">
        <v>972</v>
      </c>
      <c r="Q68" s="5" t="s">
        <v>973</v>
      </c>
      <c r="R68" s="5" t="s">
        <v>974</v>
      </c>
      <c r="S68" s="5" t="s">
        <v>975</v>
      </c>
      <c r="T68" s="5" t="s">
        <v>976</v>
      </c>
      <c r="U68" s="5" t="s">
        <v>977</v>
      </c>
      <c r="V68" s="5"/>
      <c r="W68" s="5" t="s">
        <v>978</v>
      </c>
      <c r="X68" s="5" t="s">
        <v>979</v>
      </c>
      <c r="Y68" s="5" t="s">
        <v>980</v>
      </c>
      <c r="Z68" s="5">
        <v>3.0</v>
      </c>
      <c r="AA68" s="5">
        <v>2026.0</v>
      </c>
      <c r="AB68" s="5" t="s">
        <v>34</v>
      </c>
    </row>
    <row r="69" ht="15.75" customHeight="1">
      <c r="A69" s="4" t="s">
        <v>981</v>
      </c>
      <c r="B69" s="5" t="s">
        <v>816</v>
      </c>
      <c r="C69" s="12" t="str">
        <f>"https://" &amp; "letterboxd" &amp; ".com/film/balcanica/"</f>
        <v>https://letterboxd.com/film/balcanica/</v>
      </c>
      <c r="D69" s="7" t="s">
        <v>982</v>
      </c>
      <c r="E69" s="5" t="s">
        <v>983</v>
      </c>
      <c r="F69" s="5" t="s">
        <v>32</v>
      </c>
      <c r="G69" s="5" t="s">
        <v>970</v>
      </c>
      <c r="H69" s="5" t="s">
        <v>34</v>
      </c>
      <c r="I69" s="8">
        <v>86.0</v>
      </c>
      <c r="J69" s="9" t="s">
        <v>35</v>
      </c>
      <c r="K69" s="5" t="s">
        <v>984</v>
      </c>
      <c r="L69" s="5" t="s">
        <v>34</v>
      </c>
      <c r="M69" s="10" t="s">
        <v>65</v>
      </c>
      <c r="N69" s="10" t="s">
        <v>111</v>
      </c>
      <c r="O69" s="10" t="s">
        <v>985</v>
      </c>
      <c r="P69" s="5" t="s">
        <v>986</v>
      </c>
      <c r="Q69" s="5" t="s">
        <v>987</v>
      </c>
      <c r="R69" s="5" t="s">
        <v>988</v>
      </c>
      <c r="S69" s="5" t="s">
        <v>989</v>
      </c>
      <c r="T69" s="5" t="s">
        <v>826</v>
      </c>
      <c r="U69" s="5" t="s">
        <v>990</v>
      </c>
      <c r="V69" s="5" t="s">
        <v>991</v>
      </c>
      <c r="W69" s="5" t="s">
        <v>992</v>
      </c>
      <c r="X69" s="5" t="s">
        <v>993</v>
      </c>
      <c r="Y69" s="5" t="s">
        <v>994</v>
      </c>
      <c r="Z69" s="5">
        <v>3.0</v>
      </c>
      <c r="AA69" s="5">
        <v>2026.0</v>
      </c>
      <c r="AB69" s="5" t="s">
        <v>34</v>
      </c>
    </row>
    <row r="70" ht="15.75" customHeight="1">
      <c r="A70" s="4" t="s">
        <v>995</v>
      </c>
      <c r="B70" s="5" t="s">
        <v>816</v>
      </c>
      <c r="C70" s="12" t="s">
        <v>996</v>
      </c>
      <c r="D70" s="7" t="s">
        <v>997</v>
      </c>
      <c r="E70" s="5" t="s">
        <v>998</v>
      </c>
      <c r="F70" s="5" t="s">
        <v>32</v>
      </c>
      <c r="G70" s="5" t="s">
        <v>999</v>
      </c>
      <c r="H70" s="5" t="s">
        <v>34</v>
      </c>
      <c r="I70" s="8">
        <v>101.0</v>
      </c>
      <c r="J70" s="9" t="s">
        <v>35</v>
      </c>
      <c r="K70" s="5" t="s">
        <v>1000</v>
      </c>
      <c r="L70" s="5" t="s">
        <v>34</v>
      </c>
      <c r="M70" s="10" t="s">
        <v>65</v>
      </c>
      <c r="N70" s="10" t="s">
        <v>66</v>
      </c>
      <c r="O70" s="10" t="s">
        <v>729</v>
      </c>
      <c r="P70" s="5" t="s">
        <v>1001</v>
      </c>
      <c r="Q70" s="5" t="s">
        <v>1002</v>
      </c>
      <c r="R70" s="5" t="s">
        <v>1003</v>
      </c>
      <c r="S70" s="5" t="s">
        <v>1004</v>
      </c>
      <c r="T70" s="5" t="s">
        <v>1005</v>
      </c>
      <c r="U70" s="5" t="s">
        <v>1006</v>
      </c>
      <c r="V70" s="5" t="s">
        <v>1007</v>
      </c>
      <c r="W70" s="5" t="s">
        <v>1008</v>
      </c>
      <c r="X70" s="5" t="s">
        <v>1009</v>
      </c>
      <c r="Y70" s="5" t="s">
        <v>1010</v>
      </c>
      <c r="Z70" s="5">
        <v>3.0</v>
      </c>
      <c r="AA70" s="5">
        <v>2026.0</v>
      </c>
      <c r="AB70" s="5" t="s">
        <v>34</v>
      </c>
    </row>
    <row r="71" ht="15.75" customHeight="1">
      <c r="A71" s="4" t="s">
        <v>1011</v>
      </c>
      <c r="B71" s="5" t="s">
        <v>816</v>
      </c>
      <c r="C71" s="12" t="str">
        <f>"https://" &amp; "letterboxd" &amp; ".com/film/moragheb/"</f>
        <v>https://letterboxd.com/film/moragheb/</v>
      </c>
      <c r="D71" s="7" t="s">
        <v>1012</v>
      </c>
      <c r="E71" s="5" t="s">
        <v>1013</v>
      </c>
      <c r="F71" s="5" t="s">
        <v>32</v>
      </c>
      <c r="G71" s="5" t="s">
        <v>1014</v>
      </c>
      <c r="H71" s="5" t="s">
        <v>34</v>
      </c>
      <c r="I71" s="8">
        <v>125.0</v>
      </c>
      <c r="J71" s="9" t="s">
        <v>35</v>
      </c>
      <c r="K71" s="5" t="s">
        <v>1015</v>
      </c>
      <c r="L71" s="5" t="s">
        <v>34</v>
      </c>
      <c r="M71" s="5"/>
      <c r="N71" s="5"/>
      <c r="O71" s="5"/>
      <c r="P71" s="5" t="s">
        <v>1016</v>
      </c>
      <c r="Q71" s="5" t="s">
        <v>1017</v>
      </c>
      <c r="R71" s="5" t="s">
        <v>1018</v>
      </c>
      <c r="S71" s="5" t="s">
        <v>1019</v>
      </c>
      <c r="T71" s="5" t="s">
        <v>1020</v>
      </c>
      <c r="U71" s="5" t="s">
        <v>1021</v>
      </c>
      <c r="V71" s="5" t="s">
        <v>1022</v>
      </c>
      <c r="W71" s="5" t="s">
        <v>1023</v>
      </c>
      <c r="X71" s="5" t="s">
        <v>1024</v>
      </c>
      <c r="Y71" s="5" t="s">
        <v>1025</v>
      </c>
      <c r="Z71" s="5">
        <v>3.0</v>
      </c>
      <c r="AA71" s="5">
        <v>2026.0</v>
      </c>
      <c r="AB71" s="5" t="s">
        <v>34</v>
      </c>
    </row>
    <row r="72" ht="15.75" customHeight="1">
      <c r="A72" s="4" t="s">
        <v>1026</v>
      </c>
      <c r="B72" s="5" t="s">
        <v>816</v>
      </c>
      <c r="C72" s="12" t="str">
        <f>"https://" &amp; "letterboxd" &amp; ".com/film/ji-guang/"</f>
        <v>https://letterboxd.com/film/ji-guang/</v>
      </c>
      <c r="D72" s="7" t="s">
        <v>1027</v>
      </c>
      <c r="E72" s="5" t="s">
        <v>1028</v>
      </c>
      <c r="F72" s="5" t="s">
        <v>32</v>
      </c>
      <c r="G72" s="5" t="s">
        <v>1029</v>
      </c>
      <c r="H72" s="5" t="s">
        <v>34</v>
      </c>
      <c r="I72" s="8">
        <v>87.0</v>
      </c>
      <c r="J72" s="9" t="s">
        <v>35</v>
      </c>
      <c r="K72" s="5" t="s">
        <v>1029</v>
      </c>
      <c r="L72" s="5" t="s">
        <v>34</v>
      </c>
      <c r="M72" s="5"/>
      <c r="N72" s="5"/>
      <c r="O72" s="5"/>
      <c r="P72" s="5" t="s">
        <v>1030</v>
      </c>
      <c r="Q72" s="5" t="s">
        <v>1030</v>
      </c>
      <c r="R72" s="5"/>
      <c r="S72" s="5" t="s">
        <v>1031</v>
      </c>
      <c r="T72" s="5" t="s">
        <v>1032</v>
      </c>
      <c r="U72" s="5" t="s">
        <v>1033</v>
      </c>
      <c r="V72" s="5" t="s">
        <v>1034</v>
      </c>
      <c r="W72" s="5" t="s">
        <v>1035</v>
      </c>
      <c r="X72" s="5" t="s">
        <v>1036</v>
      </c>
      <c r="Y72" s="5" t="s">
        <v>1037</v>
      </c>
      <c r="Z72" s="5">
        <v>3.0</v>
      </c>
      <c r="AA72" s="5">
        <v>2026.0</v>
      </c>
      <c r="AB72" s="5" t="s">
        <v>34</v>
      </c>
    </row>
    <row r="73" ht="15.75" customHeight="1">
      <c r="A73" s="4" t="s">
        <v>1038</v>
      </c>
      <c r="B73" s="5" t="s">
        <v>816</v>
      </c>
      <c r="C73" s="12" t="s">
        <v>1039</v>
      </c>
      <c r="D73" s="7" t="s">
        <v>1040</v>
      </c>
      <c r="E73" s="5"/>
      <c r="F73" s="5" t="s">
        <v>81</v>
      </c>
      <c r="G73" s="5" t="s">
        <v>1041</v>
      </c>
      <c r="H73" s="5" t="s">
        <v>34</v>
      </c>
      <c r="I73" s="8">
        <v>96.0</v>
      </c>
      <c r="J73" s="9" t="s">
        <v>35</v>
      </c>
      <c r="K73" s="5" t="s">
        <v>1042</v>
      </c>
      <c r="L73" s="5" t="s">
        <v>34</v>
      </c>
      <c r="M73" s="5"/>
      <c r="N73" s="5"/>
      <c r="O73" s="5"/>
      <c r="P73" s="5" t="s">
        <v>1043</v>
      </c>
      <c r="Q73" s="5" t="s">
        <v>1043</v>
      </c>
      <c r="R73" s="5" t="s">
        <v>1044</v>
      </c>
      <c r="S73" s="5" t="s">
        <v>1045</v>
      </c>
      <c r="T73" s="5" t="s">
        <v>1046</v>
      </c>
      <c r="U73" s="5" t="s">
        <v>1047</v>
      </c>
      <c r="V73" s="5" t="s">
        <v>1043</v>
      </c>
      <c r="W73" s="5" t="s">
        <v>1048</v>
      </c>
      <c r="X73" s="5" t="s">
        <v>1049</v>
      </c>
      <c r="Y73" s="5" t="s">
        <v>1050</v>
      </c>
      <c r="Z73" s="5">
        <v>3.0</v>
      </c>
      <c r="AA73" s="5">
        <v>2026.0</v>
      </c>
      <c r="AB73" s="5" t="s">
        <v>34</v>
      </c>
    </row>
    <row r="74" ht="15.75" customHeight="1">
      <c r="A74" s="4" t="s">
        <v>1051</v>
      </c>
      <c r="B74" s="5" t="s">
        <v>816</v>
      </c>
      <c r="C74" s="12" t="s">
        <v>1052</v>
      </c>
      <c r="D74" s="7" t="s">
        <v>1053</v>
      </c>
      <c r="E74" s="5"/>
      <c r="F74" s="5" t="s">
        <v>81</v>
      </c>
      <c r="G74" s="5" t="s">
        <v>1054</v>
      </c>
      <c r="H74" s="5" t="s">
        <v>34</v>
      </c>
      <c r="I74" s="8">
        <v>90.0</v>
      </c>
      <c r="J74" s="9" t="s">
        <v>35</v>
      </c>
      <c r="K74" s="5" t="s">
        <v>1055</v>
      </c>
      <c r="L74" s="5" t="s">
        <v>34</v>
      </c>
      <c r="M74" s="10" t="s">
        <v>65</v>
      </c>
      <c r="N74" s="10" t="s">
        <v>66</v>
      </c>
      <c r="O74" s="10" t="s">
        <v>729</v>
      </c>
      <c r="P74" s="5" t="s">
        <v>1056</v>
      </c>
      <c r="Q74" s="5" t="s">
        <v>1057</v>
      </c>
      <c r="R74" s="5" t="s">
        <v>1058</v>
      </c>
      <c r="S74" s="5" t="s">
        <v>1059</v>
      </c>
      <c r="T74" s="5" t="s">
        <v>1060</v>
      </c>
      <c r="U74" s="5" t="s">
        <v>1061</v>
      </c>
      <c r="V74" s="5" t="s">
        <v>1062</v>
      </c>
      <c r="W74" s="5" t="s">
        <v>1063</v>
      </c>
      <c r="X74" s="5" t="s">
        <v>1064</v>
      </c>
      <c r="Y74" s="5" t="s">
        <v>1065</v>
      </c>
      <c r="Z74" s="5">
        <v>3.0</v>
      </c>
      <c r="AA74" s="5">
        <v>2026.0</v>
      </c>
      <c r="AB74" s="5" t="s">
        <v>34</v>
      </c>
    </row>
    <row r="75" ht="15.75" customHeight="1">
      <c r="A75" s="4" t="s">
        <v>1066</v>
      </c>
      <c r="B75" s="5" t="s">
        <v>816</v>
      </c>
      <c r="C75" s="12" t="str">
        <f>"https://" &amp; "letterboxd" &amp; ".com/film/diya-2026/"</f>
        <v>https://letterboxd.com/film/diya-2026/</v>
      </c>
      <c r="D75" s="7" t="s">
        <v>1067</v>
      </c>
      <c r="E75" s="5" t="s">
        <v>1068</v>
      </c>
      <c r="F75" s="5" t="s">
        <v>32</v>
      </c>
      <c r="G75" s="5" t="s">
        <v>1069</v>
      </c>
      <c r="H75" s="5" t="s">
        <v>34</v>
      </c>
      <c r="I75" s="8">
        <v>96.0</v>
      </c>
      <c r="J75" s="9" t="s">
        <v>98</v>
      </c>
      <c r="K75" s="5" t="s">
        <v>1070</v>
      </c>
      <c r="L75" s="5" t="s">
        <v>34</v>
      </c>
      <c r="M75" s="5"/>
      <c r="N75" s="5"/>
      <c r="O75" s="5"/>
      <c r="P75" s="5" t="s">
        <v>1071</v>
      </c>
      <c r="Q75" s="5" t="s">
        <v>1071</v>
      </c>
      <c r="R75" s="5" t="s">
        <v>1072</v>
      </c>
      <c r="S75" s="5" t="s">
        <v>1073</v>
      </c>
      <c r="T75" s="5" t="s">
        <v>1074</v>
      </c>
      <c r="U75" s="5" t="s">
        <v>1075</v>
      </c>
      <c r="V75" s="5" t="s">
        <v>1076</v>
      </c>
      <c r="W75" s="5" t="s">
        <v>1077</v>
      </c>
      <c r="X75" s="5" t="s">
        <v>1078</v>
      </c>
      <c r="Y75" s="5" t="s">
        <v>1079</v>
      </c>
      <c r="Z75" s="5">
        <v>3.0</v>
      </c>
      <c r="AA75" s="5">
        <v>2025.0</v>
      </c>
      <c r="AB75" s="5" t="s">
        <v>34</v>
      </c>
    </row>
    <row r="76" ht="15.75" customHeight="1">
      <c r="A76" s="4" t="s">
        <v>1080</v>
      </c>
      <c r="B76" s="5" t="s">
        <v>816</v>
      </c>
      <c r="C76" s="12" t="str">
        <f>"https://" &amp; "letterboxd" &amp; ".com/film/dua-2026/"</f>
        <v>https://letterboxd.com/film/dua-2026/</v>
      </c>
      <c r="D76" s="7" t="s">
        <v>1081</v>
      </c>
      <c r="E76" s="5" t="s">
        <v>1082</v>
      </c>
      <c r="F76" s="5" t="s">
        <v>32</v>
      </c>
      <c r="G76" s="5" t="s">
        <v>615</v>
      </c>
      <c r="H76" s="5" t="s">
        <v>34</v>
      </c>
      <c r="I76" s="8">
        <v>101.0</v>
      </c>
      <c r="J76" s="9" t="s">
        <v>35</v>
      </c>
      <c r="K76" s="5" t="s">
        <v>1083</v>
      </c>
      <c r="L76" s="5" t="s">
        <v>34</v>
      </c>
      <c r="M76" s="5"/>
      <c r="N76" s="5"/>
      <c r="O76" s="5"/>
      <c r="P76" s="5" t="s">
        <v>1084</v>
      </c>
      <c r="Q76" s="5" t="s">
        <v>1085</v>
      </c>
      <c r="R76" s="5" t="s">
        <v>1086</v>
      </c>
      <c r="S76" s="5" t="s">
        <v>1087</v>
      </c>
      <c r="T76" s="5" t="s">
        <v>1088</v>
      </c>
      <c r="U76" s="5" t="s">
        <v>1089</v>
      </c>
      <c r="V76" s="5" t="s">
        <v>1090</v>
      </c>
      <c r="W76" s="5" t="s">
        <v>1091</v>
      </c>
      <c r="X76" s="5" t="s">
        <v>1092</v>
      </c>
      <c r="Y76" s="5" t="s">
        <v>1093</v>
      </c>
      <c r="Z76" s="5">
        <v>3.0</v>
      </c>
      <c r="AA76" s="5">
        <v>2026.0</v>
      </c>
      <c r="AB76" s="5" t="s">
        <v>34</v>
      </c>
    </row>
    <row r="77" ht="15.75" customHeight="1">
      <c r="A77" s="4" t="s">
        <v>1094</v>
      </c>
      <c r="B77" s="5" t="s">
        <v>816</v>
      </c>
      <c r="C77" s="12" t="s">
        <v>1095</v>
      </c>
      <c r="D77" s="7" t="s">
        <v>1096</v>
      </c>
      <c r="E77" s="5" t="s">
        <v>1097</v>
      </c>
      <c r="F77" s="5" t="s">
        <v>32</v>
      </c>
      <c r="G77" s="5" t="s">
        <v>1098</v>
      </c>
      <c r="H77" s="5" t="s">
        <v>34</v>
      </c>
      <c r="I77" s="8">
        <v>108.0</v>
      </c>
      <c r="J77" s="9" t="s">
        <v>35</v>
      </c>
      <c r="K77" s="5" t="s">
        <v>1099</v>
      </c>
      <c r="L77" s="5" t="s">
        <v>34</v>
      </c>
      <c r="M77" s="10" t="s">
        <v>65</v>
      </c>
      <c r="N77" s="10" t="s">
        <v>66</v>
      </c>
      <c r="O77" s="10" t="s">
        <v>729</v>
      </c>
      <c r="P77" s="5" t="s">
        <v>1100</v>
      </c>
      <c r="Q77" s="5" t="s">
        <v>1101</v>
      </c>
      <c r="R77" s="5" t="s">
        <v>1102</v>
      </c>
      <c r="S77" s="5" t="s">
        <v>1103</v>
      </c>
      <c r="T77" s="5" t="s">
        <v>1104</v>
      </c>
      <c r="U77" s="5" t="s">
        <v>1105</v>
      </c>
      <c r="V77" s="5" t="s">
        <v>1106</v>
      </c>
      <c r="W77" s="5" t="s">
        <v>1107</v>
      </c>
      <c r="X77" s="5" t="s">
        <v>1108</v>
      </c>
      <c r="Y77" s="5" t="s">
        <v>1109</v>
      </c>
      <c r="Z77" s="5">
        <v>4.0</v>
      </c>
      <c r="AA77" s="5">
        <v>2026.0</v>
      </c>
      <c r="AB77" s="5" t="s">
        <v>34</v>
      </c>
    </row>
    <row r="78" ht="15.75" customHeight="1">
      <c r="A78" s="4" t="s">
        <v>1110</v>
      </c>
      <c r="B78" s="5" t="s">
        <v>816</v>
      </c>
      <c r="C78" s="12" t="str">
        <f>"https://" &amp; "letterboxd" &amp; ".com/film/a-voix-basse/"</f>
        <v>https://letterboxd.com/film/a-voix-basse/</v>
      </c>
      <c r="D78" s="7" t="s">
        <v>1111</v>
      </c>
      <c r="E78" s="5" t="s">
        <v>1112</v>
      </c>
      <c r="F78" s="5" t="s">
        <v>32</v>
      </c>
      <c r="G78" s="5" t="s">
        <v>418</v>
      </c>
      <c r="H78" s="5" t="s">
        <v>34</v>
      </c>
      <c r="I78" s="8">
        <v>112.0</v>
      </c>
      <c r="J78" s="9" t="s">
        <v>35</v>
      </c>
      <c r="K78" s="5" t="s">
        <v>1113</v>
      </c>
      <c r="L78" s="5" t="s">
        <v>34</v>
      </c>
      <c r="M78" s="5"/>
      <c r="N78" s="5"/>
      <c r="O78" s="5"/>
      <c r="P78" s="5" t="s">
        <v>1114</v>
      </c>
      <c r="Q78" s="5" t="s">
        <v>1114</v>
      </c>
      <c r="R78" s="5" t="s">
        <v>1115</v>
      </c>
      <c r="S78" s="5" t="s">
        <v>1116</v>
      </c>
      <c r="T78" s="5" t="s">
        <v>1117</v>
      </c>
      <c r="U78" s="5" t="s">
        <v>1118</v>
      </c>
      <c r="V78" s="5" t="s">
        <v>1119</v>
      </c>
      <c r="W78" s="5" t="s">
        <v>1120</v>
      </c>
      <c r="X78" s="5" t="s">
        <v>1121</v>
      </c>
      <c r="Y78" s="5" t="s">
        <v>1122</v>
      </c>
      <c r="Z78" s="5">
        <v>3.0</v>
      </c>
      <c r="AA78" s="5">
        <v>2026.0</v>
      </c>
      <c r="AB78" s="5" t="s">
        <v>34</v>
      </c>
    </row>
    <row r="79" ht="15.75" customHeight="1">
      <c r="A79" s="4" t="s">
        <v>1123</v>
      </c>
      <c r="B79" s="5" t="s">
        <v>816</v>
      </c>
      <c r="C79" s="12" t="s">
        <v>1124</v>
      </c>
      <c r="D79" s="7" t="s">
        <v>1125</v>
      </c>
      <c r="E79" s="5" t="s">
        <v>1126</v>
      </c>
      <c r="F79" s="5" t="s">
        <v>32</v>
      </c>
      <c r="G79" s="5" t="s">
        <v>261</v>
      </c>
      <c r="H79" s="5" t="s">
        <v>34</v>
      </c>
      <c r="I79" s="8">
        <v>92.0</v>
      </c>
      <c r="J79" s="9" t="s">
        <v>35</v>
      </c>
      <c r="K79" s="5" t="s">
        <v>261</v>
      </c>
      <c r="L79" s="5" t="s">
        <v>34</v>
      </c>
      <c r="M79" s="5"/>
      <c r="N79" s="5"/>
      <c r="O79" s="5"/>
      <c r="P79" s="5" t="s">
        <v>1127</v>
      </c>
      <c r="Q79" s="5" t="s">
        <v>1128</v>
      </c>
      <c r="R79" s="5" t="s">
        <v>1129</v>
      </c>
      <c r="S79" s="5" t="s">
        <v>1130</v>
      </c>
      <c r="T79" s="5" t="s">
        <v>1131</v>
      </c>
      <c r="U79" s="5" t="s">
        <v>1132</v>
      </c>
      <c r="V79" s="5" t="s">
        <v>1133</v>
      </c>
      <c r="W79" s="5" t="s">
        <v>1134</v>
      </c>
      <c r="X79" s="5" t="s">
        <v>1135</v>
      </c>
      <c r="Y79" s="5" t="s">
        <v>1136</v>
      </c>
      <c r="Z79" s="5">
        <v>3.0</v>
      </c>
      <c r="AA79" s="5">
        <v>2026.0</v>
      </c>
      <c r="AB79" s="5" t="s">
        <v>34</v>
      </c>
    </row>
    <row r="80" ht="15.75" customHeight="1">
      <c r="A80" s="4" t="s">
        <v>1137</v>
      </c>
      <c r="B80" s="5" t="s">
        <v>816</v>
      </c>
      <c r="C80" s="12" t="str">
        <f>"https://" &amp; "letterboxd" &amp; ".com/film/dziecko-z-pylu/"</f>
        <v>https://letterboxd.com/film/dziecko-z-pylu/</v>
      </c>
      <c r="D80" s="7" t="s">
        <v>1138</v>
      </c>
      <c r="E80" s="5" t="s">
        <v>1139</v>
      </c>
      <c r="F80" s="5" t="s">
        <v>32</v>
      </c>
      <c r="G80" s="5" t="s">
        <v>1140</v>
      </c>
      <c r="H80" s="5" t="s">
        <v>83</v>
      </c>
      <c r="I80" s="8">
        <v>92.0</v>
      </c>
      <c r="J80" s="9" t="s">
        <v>98</v>
      </c>
      <c r="K80" s="5" t="s">
        <v>1141</v>
      </c>
      <c r="L80" s="5" t="s">
        <v>83</v>
      </c>
      <c r="M80" s="5"/>
      <c r="N80" s="5"/>
      <c r="O80" s="5"/>
      <c r="P80" s="5" t="s">
        <v>1142</v>
      </c>
      <c r="Q80" s="5" t="s">
        <v>1142</v>
      </c>
      <c r="R80" s="5" t="s">
        <v>1143</v>
      </c>
      <c r="S80" s="5" t="s">
        <v>1144</v>
      </c>
      <c r="T80" s="5" t="s">
        <v>1145</v>
      </c>
      <c r="U80" s="5" t="s">
        <v>1146</v>
      </c>
      <c r="V80" s="5" t="s">
        <v>1147</v>
      </c>
      <c r="W80" s="5"/>
      <c r="X80" s="5" t="s">
        <v>1148</v>
      </c>
      <c r="Y80" s="5" t="s">
        <v>1149</v>
      </c>
      <c r="Z80" s="5">
        <v>3.0</v>
      </c>
      <c r="AA80" s="5">
        <v>2025.0</v>
      </c>
      <c r="AB80" s="5" t="s">
        <v>83</v>
      </c>
    </row>
    <row r="81" ht="15.75" customHeight="1">
      <c r="A81" s="4" t="s">
        <v>1150</v>
      </c>
      <c r="B81" s="5" t="s">
        <v>816</v>
      </c>
      <c r="C81" s="12" t="str">
        <f>"https://" &amp; "letterboxd" &amp; ".com/film/hanabi-2026/"</f>
        <v>https://letterboxd.com/film/hanabi-2026/</v>
      </c>
      <c r="D81" s="7" t="s">
        <v>1151</v>
      </c>
      <c r="E81" s="5" t="s">
        <v>1152</v>
      </c>
      <c r="F81" s="5" t="s">
        <v>32</v>
      </c>
      <c r="G81" s="5" t="s">
        <v>1153</v>
      </c>
      <c r="H81" s="5" t="s">
        <v>83</v>
      </c>
      <c r="I81" s="8">
        <v>105.0</v>
      </c>
      <c r="J81" s="9" t="s">
        <v>35</v>
      </c>
      <c r="K81" s="5" t="s">
        <v>1154</v>
      </c>
      <c r="L81" s="5" t="s">
        <v>83</v>
      </c>
      <c r="M81" s="5"/>
      <c r="N81" s="5"/>
      <c r="O81" s="5"/>
      <c r="P81" s="5" t="s">
        <v>1155</v>
      </c>
      <c r="Q81" s="5" t="s">
        <v>1155</v>
      </c>
      <c r="R81" s="5" t="s">
        <v>1156</v>
      </c>
      <c r="S81" s="5" t="s">
        <v>1157</v>
      </c>
      <c r="T81" s="5" t="s">
        <v>1155</v>
      </c>
      <c r="U81" s="5" t="s">
        <v>1158</v>
      </c>
      <c r="V81" s="5" t="s">
        <v>1159</v>
      </c>
      <c r="W81" s="5"/>
      <c r="X81" s="5" t="s">
        <v>1160</v>
      </c>
      <c r="Y81" s="5" t="s">
        <v>1161</v>
      </c>
      <c r="Z81" s="5">
        <v>4.0</v>
      </c>
      <c r="AA81" s="5">
        <v>2026.0</v>
      </c>
      <c r="AB81" s="5" t="s">
        <v>83</v>
      </c>
    </row>
    <row r="82" ht="15.75" customHeight="1">
      <c r="A82" s="4" t="s">
        <v>1162</v>
      </c>
      <c r="B82" s="5" t="s">
        <v>816</v>
      </c>
      <c r="C82" s="12" t="s">
        <v>1163</v>
      </c>
      <c r="D82" s="7" t="s">
        <v>1164</v>
      </c>
      <c r="E82" s="5"/>
      <c r="F82" s="5" t="s">
        <v>81</v>
      </c>
      <c r="G82" s="5" t="s">
        <v>1153</v>
      </c>
      <c r="H82" s="5" t="s">
        <v>34</v>
      </c>
      <c r="I82" s="8">
        <v>133.0</v>
      </c>
      <c r="J82" s="9" t="s">
        <v>35</v>
      </c>
      <c r="K82" s="5" t="s">
        <v>1165</v>
      </c>
      <c r="L82" s="5" t="s">
        <v>34</v>
      </c>
      <c r="M82" s="5"/>
      <c r="N82" s="5"/>
      <c r="O82" s="5"/>
      <c r="P82" s="5" t="s">
        <v>1166</v>
      </c>
      <c r="Q82" s="5" t="s">
        <v>1167</v>
      </c>
      <c r="R82" s="5" t="s">
        <v>1168</v>
      </c>
      <c r="S82" s="5" t="s">
        <v>1169</v>
      </c>
      <c r="T82" s="5" t="s">
        <v>1170</v>
      </c>
      <c r="U82" s="5" t="s">
        <v>1166</v>
      </c>
      <c r="V82" s="5" t="s">
        <v>1171</v>
      </c>
      <c r="W82" s="5" t="s">
        <v>1172</v>
      </c>
      <c r="X82" s="5" t="s">
        <v>1173</v>
      </c>
      <c r="Y82" s="5" t="s">
        <v>1174</v>
      </c>
      <c r="Z82" s="5">
        <v>3.0</v>
      </c>
      <c r="AA82" s="5">
        <v>2026.0</v>
      </c>
      <c r="AB82" s="5" t="s">
        <v>34</v>
      </c>
    </row>
    <row r="83" ht="15.75" customHeight="1">
      <c r="A83" s="4" t="s">
        <v>1175</v>
      </c>
      <c r="B83" s="5" t="s">
        <v>816</v>
      </c>
      <c r="C83" s="12" t="str">
        <f>"https://" &amp; "letterboxd" &amp; ".com/film/wu-ming-nu-hai/"</f>
        <v>https://letterboxd.com/film/wu-ming-nu-hai/</v>
      </c>
      <c r="D83" s="7" t="s">
        <v>1176</v>
      </c>
      <c r="E83" s="5" t="s">
        <v>1177</v>
      </c>
      <c r="F83" s="5" t="s">
        <v>32</v>
      </c>
      <c r="G83" s="5" t="s">
        <v>1178</v>
      </c>
      <c r="H83" s="5" t="s">
        <v>34</v>
      </c>
      <c r="I83" s="8">
        <v>128.0</v>
      </c>
      <c r="J83" s="9" t="s">
        <v>35</v>
      </c>
      <c r="K83" s="5" t="s">
        <v>1179</v>
      </c>
      <c r="L83" s="5" t="s">
        <v>34</v>
      </c>
      <c r="M83" s="10" t="s">
        <v>65</v>
      </c>
      <c r="N83" s="10" t="s">
        <v>66</v>
      </c>
      <c r="O83" s="10" t="s">
        <v>889</v>
      </c>
      <c r="P83" s="5" t="s">
        <v>1180</v>
      </c>
      <c r="Q83" s="5" t="s">
        <v>1180</v>
      </c>
      <c r="R83" s="5" t="s">
        <v>1181</v>
      </c>
      <c r="S83" s="5" t="s">
        <v>1182</v>
      </c>
      <c r="T83" s="5" t="s">
        <v>1183</v>
      </c>
      <c r="U83" s="5" t="s">
        <v>1184</v>
      </c>
      <c r="V83" s="5" t="s">
        <v>211</v>
      </c>
      <c r="W83" s="5" t="s">
        <v>1185</v>
      </c>
      <c r="X83" s="5" t="s">
        <v>1186</v>
      </c>
      <c r="Y83" s="5" t="s">
        <v>1187</v>
      </c>
      <c r="Z83" s="5">
        <v>3.0</v>
      </c>
      <c r="AA83" s="5">
        <v>2026.0</v>
      </c>
      <c r="AB83" s="5" t="s">
        <v>34</v>
      </c>
    </row>
    <row r="84" ht="15.75" customHeight="1">
      <c r="A84" s="4" t="s">
        <v>1188</v>
      </c>
      <c r="B84" s="5" t="s">
        <v>816</v>
      </c>
      <c r="C84" s="12" t="str">
        <f>"https://" &amp; "letterboxd" &amp; ".com/film/yak-mai/"</f>
        <v>https://letterboxd.com/film/yak-mai/</v>
      </c>
      <c r="D84" s="7" t="s">
        <v>1189</v>
      </c>
      <c r="E84" s="5" t="s">
        <v>1190</v>
      </c>
      <c r="F84" s="5" t="s">
        <v>32</v>
      </c>
      <c r="G84" s="5" t="s">
        <v>1191</v>
      </c>
      <c r="H84" s="5" t="s">
        <v>34</v>
      </c>
      <c r="I84" s="8">
        <v>118.0</v>
      </c>
      <c r="J84" s="9" t="s">
        <v>35</v>
      </c>
      <c r="K84" s="5" t="s">
        <v>1192</v>
      </c>
      <c r="L84" s="5" t="s">
        <v>34</v>
      </c>
      <c r="M84" s="5"/>
      <c r="N84" s="5"/>
      <c r="O84" s="5"/>
      <c r="P84" s="5" t="s">
        <v>1193</v>
      </c>
      <c r="Q84" s="5" t="s">
        <v>1194</v>
      </c>
      <c r="R84" s="5" t="s">
        <v>1195</v>
      </c>
      <c r="S84" s="5" t="s">
        <v>1196</v>
      </c>
      <c r="T84" s="5" t="s">
        <v>1197</v>
      </c>
      <c r="U84" s="5" t="s">
        <v>1198</v>
      </c>
      <c r="V84" s="5" t="s">
        <v>1199</v>
      </c>
      <c r="W84" s="5" t="s">
        <v>1200</v>
      </c>
      <c r="X84" s="5" t="s">
        <v>1201</v>
      </c>
      <c r="Y84" s="5" t="s">
        <v>1202</v>
      </c>
      <c r="Z84" s="5">
        <v>3.0</v>
      </c>
      <c r="AA84" s="5">
        <v>2026.0</v>
      </c>
      <c r="AB84" s="5" t="s">
        <v>34</v>
      </c>
    </row>
    <row r="85" ht="15.75" customHeight="1">
      <c r="A85" s="4" t="s">
        <v>1203</v>
      </c>
      <c r="B85" s="5" t="s">
        <v>816</v>
      </c>
      <c r="C85" s="12" t="s">
        <v>1204</v>
      </c>
      <c r="D85" s="7" t="s">
        <v>1205</v>
      </c>
      <c r="E85" s="5" t="s">
        <v>1206</v>
      </c>
      <c r="F85" s="5" t="s">
        <v>32</v>
      </c>
      <c r="G85" s="5" t="s">
        <v>1029</v>
      </c>
      <c r="H85" s="5" t="s">
        <v>34</v>
      </c>
      <c r="I85" s="8">
        <v>87.0</v>
      </c>
      <c r="J85" s="9" t="s">
        <v>98</v>
      </c>
      <c r="K85" s="5" t="s">
        <v>1029</v>
      </c>
      <c r="L85" s="5" t="s">
        <v>34</v>
      </c>
      <c r="M85" s="5"/>
      <c r="N85" s="5"/>
      <c r="O85" s="5"/>
      <c r="P85" s="5" t="s">
        <v>1207</v>
      </c>
      <c r="Q85" s="5" t="s">
        <v>1207</v>
      </c>
      <c r="R85" s="5" t="s">
        <v>1208</v>
      </c>
      <c r="S85" s="5" t="s">
        <v>1209</v>
      </c>
      <c r="T85" s="5" t="s">
        <v>1210</v>
      </c>
      <c r="U85" s="5" t="s">
        <v>1211</v>
      </c>
      <c r="V85" s="5"/>
      <c r="W85" s="5" t="s">
        <v>1212</v>
      </c>
      <c r="X85" s="5" t="s">
        <v>1213</v>
      </c>
      <c r="Y85" s="5" t="s">
        <v>1214</v>
      </c>
      <c r="Z85" s="5">
        <v>3.0</v>
      </c>
      <c r="AA85" s="5">
        <v>2025.0</v>
      </c>
      <c r="AB85" s="5" t="s">
        <v>34</v>
      </c>
    </row>
    <row r="86" ht="15.75" customHeight="1">
      <c r="A86" s="4" t="s">
        <v>1215</v>
      </c>
      <c r="B86" s="5" t="s">
        <v>816</v>
      </c>
      <c r="C86" s="12" t="str">
        <f>"https://" &amp; "letterboxd" &amp; ".com/film/halima/"</f>
        <v>https://letterboxd.com/film/halima/</v>
      </c>
      <c r="D86" s="7" t="s">
        <v>1216</v>
      </c>
      <c r="E86" s="5"/>
      <c r="F86" s="5" t="s">
        <v>81</v>
      </c>
      <c r="G86" s="5" t="s">
        <v>1217</v>
      </c>
      <c r="H86" s="5" t="s">
        <v>34</v>
      </c>
      <c r="I86" s="8">
        <v>85.0</v>
      </c>
      <c r="J86" s="9" t="s">
        <v>35</v>
      </c>
      <c r="K86" s="5" t="s">
        <v>1217</v>
      </c>
      <c r="L86" s="5" t="s">
        <v>34</v>
      </c>
      <c r="M86" s="5"/>
      <c r="N86" s="5"/>
      <c r="O86" s="5"/>
      <c r="P86" s="5" t="s">
        <v>1218</v>
      </c>
      <c r="Q86" s="5" t="s">
        <v>1218</v>
      </c>
      <c r="R86" s="5" t="s">
        <v>1219</v>
      </c>
      <c r="S86" s="5" t="s">
        <v>1220</v>
      </c>
      <c r="T86" s="5" t="s">
        <v>1221</v>
      </c>
      <c r="U86" s="5" t="s">
        <v>1218</v>
      </c>
      <c r="V86" s="5"/>
      <c r="W86" s="5" t="s">
        <v>1222</v>
      </c>
      <c r="X86" s="5" t="s">
        <v>1223</v>
      </c>
      <c r="Y86" s="5" t="s">
        <v>1224</v>
      </c>
      <c r="Z86" s="5">
        <v>3.0</v>
      </c>
      <c r="AA86" s="5">
        <v>2026.0</v>
      </c>
      <c r="AB86" s="5" t="s">
        <v>34</v>
      </c>
    </row>
    <row r="87" ht="15.75" customHeight="1">
      <c r="A87" s="4" t="s">
        <v>1225</v>
      </c>
      <c r="B87" s="5" t="s">
        <v>816</v>
      </c>
      <c r="C87" s="12" t="s">
        <v>1226</v>
      </c>
      <c r="D87" s="7" t="s">
        <v>1227</v>
      </c>
      <c r="E87" s="5" t="s">
        <v>1228</v>
      </c>
      <c r="F87" s="5" t="s">
        <v>32</v>
      </c>
      <c r="G87" s="5" t="s">
        <v>289</v>
      </c>
      <c r="H87" s="5" t="s">
        <v>34</v>
      </c>
      <c r="I87" s="8">
        <v>104.0</v>
      </c>
      <c r="J87" s="9" t="s">
        <v>35</v>
      </c>
      <c r="K87" s="5" t="s">
        <v>289</v>
      </c>
      <c r="L87" s="5" t="s">
        <v>34</v>
      </c>
      <c r="M87" s="5"/>
      <c r="N87" s="5"/>
      <c r="O87" s="5"/>
      <c r="P87" s="5" t="s">
        <v>1229</v>
      </c>
      <c r="Q87" s="5" t="s">
        <v>1230</v>
      </c>
      <c r="R87" s="5" t="s">
        <v>1231</v>
      </c>
      <c r="S87" s="5" t="s">
        <v>1232</v>
      </c>
      <c r="T87" s="5" t="s">
        <v>1230</v>
      </c>
      <c r="U87" s="5" t="s">
        <v>1233</v>
      </c>
      <c r="V87" s="5" t="s">
        <v>1234</v>
      </c>
      <c r="W87" s="5" t="s">
        <v>1235</v>
      </c>
      <c r="X87" s="5" t="s">
        <v>1236</v>
      </c>
      <c r="Y87" s="5" t="s">
        <v>1237</v>
      </c>
      <c r="Z87" s="5">
        <v>3.0</v>
      </c>
      <c r="AA87" s="5">
        <v>2026.0</v>
      </c>
      <c r="AB87" s="5" t="s">
        <v>34</v>
      </c>
    </row>
    <row r="88" ht="15.75" customHeight="1">
      <c r="A88" s="4" t="s">
        <v>1238</v>
      </c>
      <c r="B88" s="5" t="s">
        <v>816</v>
      </c>
      <c r="C88" s="12" t="str">
        <f>"https://" &amp; "letterboxd" &amp; ".com/film/in-waves-2026/"</f>
        <v>https://letterboxd.com/film/in-waves-2026/</v>
      </c>
      <c r="D88" s="7" t="s">
        <v>1239</v>
      </c>
      <c r="E88" s="5"/>
      <c r="F88" s="5" t="s">
        <v>81</v>
      </c>
      <c r="G88" s="5" t="s">
        <v>742</v>
      </c>
      <c r="H88" s="5" t="s">
        <v>34</v>
      </c>
      <c r="I88" s="8">
        <v>91.0</v>
      </c>
      <c r="J88" s="9" t="s">
        <v>35</v>
      </c>
      <c r="K88" s="5" t="s">
        <v>419</v>
      </c>
      <c r="L88" s="5" t="s">
        <v>34</v>
      </c>
      <c r="M88" s="10" t="s">
        <v>65</v>
      </c>
      <c r="N88" s="10" t="s">
        <v>66</v>
      </c>
      <c r="O88" s="10" t="s">
        <v>889</v>
      </c>
      <c r="P88" s="5" t="s">
        <v>1240</v>
      </c>
      <c r="Q88" s="5" t="s">
        <v>1241</v>
      </c>
      <c r="R88" s="5" t="s">
        <v>1242</v>
      </c>
      <c r="S88" s="5" t="s">
        <v>1243</v>
      </c>
      <c r="T88" s="5"/>
      <c r="U88" s="5" t="s">
        <v>1244</v>
      </c>
      <c r="V88" s="5" t="s">
        <v>1245</v>
      </c>
      <c r="W88" s="5" t="s">
        <v>1246</v>
      </c>
      <c r="X88" s="5" t="s">
        <v>1247</v>
      </c>
      <c r="Y88" s="5" t="s">
        <v>1248</v>
      </c>
      <c r="Z88" s="5">
        <v>3.0</v>
      </c>
      <c r="AA88" s="5">
        <v>2026.0</v>
      </c>
      <c r="AB88" s="5" t="s">
        <v>34</v>
      </c>
    </row>
    <row r="89" ht="15.75" customHeight="1">
      <c r="A89" s="4" t="s">
        <v>1249</v>
      </c>
      <c r="B89" s="5" t="s">
        <v>816</v>
      </c>
      <c r="C89" s="12" t="s">
        <v>1250</v>
      </c>
      <c r="D89" s="7" t="s">
        <v>1251</v>
      </c>
      <c r="E89" s="5"/>
      <c r="F89" s="5" t="s">
        <v>81</v>
      </c>
      <c r="G89" s="5" t="s">
        <v>1252</v>
      </c>
      <c r="H89" s="5" t="s">
        <v>34</v>
      </c>
      <c r="I89" s="8">
        <v>100.0</v>
      </c>
      <c r="J89" s="9" t="s">
        <v>35</v>
      </c>
      <c r="K89" s="5" t="s">
        <v>1253</v>
      </c>
      <c r="L89" s="5" t="s">
        <v>34</v>
      </c>
      <c r="M89" s="5"/>
      <c r="N89" s="5"/>
      <c r="O89" s="5"/>
      <c r="P89" s="5" t="s">
        <v>1254</v>
      </c>
      <c r="Q89" s="5" t="s">
        <v>1254</v>
      </c>
      <c r="R89" s="5" t="s">
        <v>1255</v>
      </c>
      <c r="S89" s="5" t="s">
        <v>1256</v>
      </c>
      <c r="T89" s="5" t="s">
        <v>1257</v>
      </c>
      <c r="U89" s="5" t="s">
        <v>1258</v>
      </c>
      <c r="V89" s="5" t="s">
        <v>1259</v>
      </c>
      <c r="W89" s="5" t="s">
        <v>1260</v>
      </c>
      <c r="X89" s="5" t="s">
        <v>1261</v>
      </c>
      <c r="Y89" s="5" t="s">
        <v>1262</v>
      </c>
      <c r="Z89" s="5">
        <v>3.0</v>
      </c>
      <c r="AA89" s="5">
        <v>2026.0</v>
      </c>
      <c r="AB89" s="5" t="s">
        <v>34</v>
      </c>
    </row>
    <row r="90" ht="15.75" customHeight="1">
      <c r="A90" s="4" t="s">
        <v>1263</v>
      </c>
      <c r="B90" s="5" t="s">
        <v>816</v>
      </c>
      <c r="C90" s="12" t="s">
        <v>1264</v>
      </c>
      <c r="D90" s="7" t="s">
        <v>1265</v>
      </c>
      <c r="E90" s="5"/>
      <c r="F90" s="5" t="s">
        <v>81</v>
      </c>
      <c r="G90" s="5" t="s">
        <v>1266</v>
      </c>
      <c r="H90" s="5" t="s">
        <v>34</v>
      </c>
      <c r="I90" s="8">
        <v>93.0</v>
      </c>
      <c r="J90" s="9" t="s">
        <v>35</v>
      </c>
      <c r="K90" s="5" t="s">
        <v>1267</v>
      </c>
      <c r="L90" s="5" t="s">
        <v>34</v>
      </c>
      <c r="M90" s="10" t="s">
        <v>65</v>
      </c>
      <c r="N90" s="10" t="s">
        <v>316</v>
      </c>
      <c r="O90" s="10" t="s">
        <v>1268</v>
      </c>
      <c r="P90" s="5" t="s">
        <v>1269</v>
      </c>
      <c r="Q90" s="5" t="s">
        <v>1269</v>
      </c>
      <c r="R90" s="5" t="s">
        <v>1270</v>
      </c>
      <c r="S90" s="5" t="s">
        <v>1271</v>
      </c>
      <c r="T90" s="5" t="s">
        <v>1272</v>
      </c>
      <c r="U90" s="5" t="s">
        <v>1273</v>
      </c>
      <c r="V90" s="5" t="s">
        <v>1274</v>
      </c>
      <c r="W90" s="5" t="s">
        <v>1275</v>
      </c>
      <c r="X90" s="5" t="s">
        <v>1276</v>
      </c>
      <c r="Y90" s="5" t="s">
        <v>1277</v>
      </c>
      <c r="Z90" s="5">
        <v>3.0</v>
      </c>
      <c r="AA90" s="5">
        <v>2026.0</v>
      </c>
      <c r="AB90" s="5" t="s">
        <v>34</v>
      </c>
    </row>
    <row r="91" ht="15.75" customHeight="1">
      <c r="A91" s="4" t="s">
        <v>1278</v>
      </c>
      <c r="B91" s="5" t="s">
        <v>816</v>
      </c>
      <c r="C91" s="12" t="s">
        <v>1279</v>
      </c>
      <c r="D91" s="7" t="s">
        <v>1280</v>
      </c>
      <c r="E91" s="5" t="s">
        <v>1281</v>
      </c>
      <c r="F91" s="5" t="s">
        <v>32</v>
      </c>
      <c r="G91" s="5" t="s">
        <v>1282</v>
      </c>
      <c r="H91" s="5" t="s">
        <v>34</v>
      </c>
      <c r="I91" s="8">
        <v>116.0</v>
      </c>
      <c r="J91" s="9" t="s">
        <v>35</v>
      </c>
      <c r="K91" s="5" t="s">
        <v>1282</v>
      </c>
      <c r="L91" s="5" t="s">
        <v>34</v>
      </c>
      <c r="M91" s="5"/>
      <c r="N91" s="5"/>
      <c r="O91" s="5"/>
      <c r="P91" s="5" t="s">
        <v>1283</v>
      </c>
      <c r="Q91" s="5" t="s">
        <v>1284</v>
      </c>
      <c r="R91" s="5" t="s">
        <v>1285</v>
      </c>
      <c r="S91" s="5" t="s">
        <v>1286</v>
      </c>
      <c r="T91" s="5" t="s">
        <v>1287</v>
      </c>
      <c r="U91" s="5" t="s">
        <v>1288</v>
      </c>
      <c r="V91" s="5" t="s">
        <v>1289</v>
      </c>
      <c r="W91" s="5" t="s">
        <v>1290</v>
      </c>
      <c r="X91" s="5" t="s">
        <v>1291</v>
      </c>
      <c r="Y91" s="5" t="s">
        <v>1292</v>
      </c>
      <c r="Z91" s="5">
        <v>5.0</v>
      </c>
      <c r="AA91" s="5">
        <v>2026.0</v>
      </c>
      <c r="AB91" s="5" t="s">
        <v>34</v>
      </c>
    </row>
    <row r="92" ht="15.75" customHeight="1">
      <c r="A92" s="4" t="s">
        <v>1293</v>
      </c>
      <c r="B92" s="5" t="s">
        <v>816</v>
      </c>
      <c r="C92" s="12" t="s">
        <v>1294</v>
      </c>
      <c r="D92" s="7" t="s">
        <v>1295</v>
      </c>
      <c r="E92" s="5" t="s">
        <v>1296</v>
      </c>
      <c r="F92" s="5" t="s">
        <v>32</v>
      </c>
      <c r="G92" s="5" t="s">
        <v>1297</v>
      </c>
      <c r="H92" s="5" t="s">
        <v>34</v>
      </c>
      <c r="I92" s="8">
        <v>106.0</v>
      </c>
      <c r="J92" s="9" t="s">
        <v>98</v>
      </c>
      <c r="K92" s="5" t="s">
        <v>1298</v>
      </c>
      <c r="L92" s="5" t="s">
        <v>34</v>
      </c>
      <c r="M92" s="5"/>
      <c r="N92" s="5"/>
      <c r="O92" s="5"/>
      <c r="P92" s="5" t="s">
        <v>1299</v>
      </c>
      <c r="Q92" s="5" t="s">
        <v>1299</v>
      </c>
      <c r="R92" s="5" t="s">
        <v>1300</v>
      </c>
      <c r="S92" s="5" t="s">
        <v>1301</v>
      </c>
      <c r="T92" s="5"/>
      <c r="U92" s="5" t="s">
        <v>1302</v>
      </c>
      <c r="V92" s="5" t="s">
        <v>1303</v>
      </c>
      <c r="W92" s="5" t="s">
        <v>1304</v>
      </c>
      <c r="X92" s="5" t="s">
        <v>1305</v>
      </c>
      <c r="Y92" s="5" t="s">
        <v>1306</v>
      </c>
      <c r="Z92" s="5">
        <v>3.0</v>
      </c>
      <c r="AA92" s="5">
        <v>2025.0</v>
      </c>
      <c r="AB92" s="5" t="s">
        <v>34</v>
      </c>
    </row>
    <row r="93" ht="15.75" customHeight="1">
      <c r="A93" s="4" t="s">
        <v>1307</v>
      </c>
      <c r="B93" s="5" t="s">
        <v>816</v>
      </c>
      <c r="C93" s="12" t="s">
        <v>1308</v>
      </c>
      <c r="D93" s="7" t="s">
        <v>1309</v>
      </c>
      <c r="E93" s="5" t="s">
        <v>1310</v>
      </c>
      <c r="F93" s="5" t="s">
        <v>32</v>
      </c>
      <c r="G93" s="5" t="s">
        <v>203</v>
      </c>
      <c r="H93" s="5" t="s">
        <v>34</v>
      </c>
      <c r="I93" s="8">
        <v>102.0</v>
      </c>
      <c r="J93" s="9" t="s">
        <v>35</v>
      </c>
      <c r="K93" s="5" t="s">
        <v>1311</v>
      </c>
      <c r="L93" s="5" t="s">
        <v>34</v>
      </c>
      <c r="M93" s="5"/>
      <c r="N93" s="5"/>
      <c r="O93" s="5"/>
      <c r="P93" s="5" t="s">
        <v>1312</v>
      </c>
      <c r="Q93" s="5" t="s">
        <v>1313</v>
      </c>
      <c r="R93" s="5" t="s">
        <v>1314</v>
      </c>
      <c r="S93" s="5" t="s">
        <v>1315</v>
      </c>
      <c r="T93" s="5" t="s">
        <v>1316</v>
      </c>
      <c r="U93" s="5" t="s">
        <v>1317</v>
      </c>
      <c r="V93" s="5" t="s">
        <v>1318</v>
      </c>
      <c r="W93" s="5" t="s">
        <v>1319</v>
      </c>
      <c r="X93" s="5" t="s">
        <v>1320</v>
      </c>
      <c r="Y93" s="5" t="s">
        <v>1321</v>
      </c>
      <c r="Z93" s="5">
        <v>5.0</v>
      </c>
      <c r="AA93" s="5">
        <v>2026.0</v>
      </c>
      <c r="AB93" s="5" t="s">
        <v>34</v>
      </c>
    </row>
    <row r="94" ht="15.75" customHeight="1">
      <c r="A94" s="4" t="s">
        <v>1322</v>
      </c>
      <c r="B94" s="5" t="s">
        <v>816</v>
      </c>
      <c r="C94" s="12" t="str">
        <f>"https://" &amp; "letterboxd" &amp; ".com/film/le-triangle-dor/"</f>
        <v>https://letterboxd.com/film/le-triangle-dor/</v>
      </c>
      <c r="D94" s="7" t="s">
        <v>1323</v>
      </c>
      <c r="E94" s="5" t="s">
        <v>1324</v>
      </c>
      <c r="F94" s="5" t="s">
        <v>32</v>
      </c>
      <c r="G94" s="5" t="s">
        <v>203</v>
      </c>
      <c r="H94" s="5" t="s">
        <v>34</v>
      </c>
      <c r="I94" s="8">
        <v>90.0</v>
      </c>
      <c r="J94" s="9" t="s">
        <v>35</v>
      </c>
      <c r="K94" s="5" t="s">
        <v>1325</v>
      </c>
      <c r="L94" s="5" t="s">
        <v>34</v>
      </c>
      <c r="M94" s="10" t="s">
        <v>65</v>
      </c>
      <c r="N94" s="10" t="s">
        <v>66</v>
      </c>
      <c r="O94" s="10" t="s">
        <v>1326</v>
      </c>
      <c r="P94" s="5" t="s">
        <v>1327</v>
      </c>
      <c r="Q94" s="5" t="s">
        <v>1328</v>
      </c>
      <c r="R94" s="5" t="s">
        <v>1329</v>
      </c>
      <c r="S94" s="5" t="s">
        <v>1330</v>
      </c>
      <c r="T94" s="5" t="s">
        <v>1331</v>
      </c>
      <c r="U94" s="5" t="s">
        <v>1332</v>
      </c>
      <c r="V94" s="5" t="s">
        <v>1333</v>
      </c>
      <c r="W94" s="5" t="s">
        <v>1334</v>
      </c>
      <c r="X94" s="5" t="s">
        <v>1335</v>
      </c>
      <c r="Y94" s="5" t="s">
        <v>1336</v>
      </c>
      <c r="Z94" s="5">
        <v>3.0</v>
      </c>
      <c r="AA94" s="5">
        <v>2026.0</v>
      </c>
      <c r="AB94" s="5" t="s">
        <v>34</v>
      </c>
    </row>
    <row r="95" ht="15.75" customHeight="1">
      <c r="A95" s="4" t="s">
        <v>1337</v>
      </c>
      <c r="B95" s="5" t="s">
        <v>816</v>
      </c>
      <c r="C95" s="12" t="str">
        <f>"https://" &amp; "letterboxd" &amp; ".com/film/maria-vitoria/"</f>
        <v>https://letterboxd.com/film/maria-vitoria/</v>
      </c>
      <c r="D95" s="7" t="s">
        <v>1338</v>
      </c>
      <c r="E95" s="5"/>
      <c r="F95" s="5" t="s">
        <v>81</v>
      </c>
      <c r="G95" s="5" t="s">
        <v>1339</v>
      </c>
      <c r="H95" s="5" t="s">
        <v>34</v>
      </c>
      <c r="I95" s="8">
        <v>114.0</v>
      </c>
      <c r="J95" s="9" t="s">
        <v>98</v>
      </c>
      <c r="K95" s="5" t="s">
        <v>1339</v>
      </c>
      <c r="L95" s="5" t="s">
        <v>34</v>
      </c>
      <c r="M95" s="5"/>
      <c r="N95" s="5"/>
      <c r="O95" s="5"/>
      <c r="P95" s="5" t="s">
        <v>1340</v>
      </c>
      <c r="Q95" s="5" t="s">
        <v>1340</v>
      </c>
      <c r="R95" s="5" t="s">
        <v>1341</v>
      </c>
      <c r="S95" s="5" t="s">
        <v>1342</v>
      </c>
      <c r="T95" s="5" t="s">
        <v>1343</v>
      </c>
      <c r="U95" s="5" t="s">
        <v>1344</v>
      </c>
      <c r="V95" s="5" t="s">
        <v>1345</v>
      </c>
      <c r="W95" s="5" t="s">
        <v>1346</v>
      </c>
      <c r="X95" s="5" t="s">
        <v>1347</v>
      </c>
      <c r="Y95" s="5" t="s">
        <v>1348</v>
      </c>
      <c r="Z95" s="5">
        <v>3.0</v>
      </c>
      <c r="AA95" s="5">
        <v>2025.0</v>
      </c>
      <c r="AB95" s="5" t="s">
        <v>34</v>
      </c>
    </row>
    <row r="96" ht="15.75" customHeight="1">
      <c r="A96" s="4" t="s">
        <v>1349</v>
      </c>
      <c r="B96" s="5" t="s">
        <v>816</v>
      </c>
      <c r="C96" s="12" t="s">
        <v>1350</v>
      </c>
      <c r="D96" s="7" t="s">
        <v>1351</v>
      </c>
      <c r="E96" s="5" t="s">
        <v>1352</v>
      </c>
      <c r="F96" s="5" t="s">
        <v>32</v>
      </c>
      <c r="G96" s="5" t="s">
        <v>1353</v>
      </c>
      <c r="H96" s="5" t="s">
        <v>34</v>
      </c>
      <c r="I96" s="8">
        <v>103.0</v>
      </c>
      <c r="J96" s="9" t="s">
        <v>35</v>
      </c>
      <c r="K96" s="5" t="s">
        <v>1354</v>
      </c>
      <c r="L96" s="5" t="s">
        <v>34</v>
      </c>
      <c r="M96" s="10" t="s">
        <v>65</v>
      </c>
      <c r="N96" s="10" t="s">
        <v>66</v>
      </c>
      <c r="O96" s="10" t="s">
        <v>67</v>
      </c>
      <c r="P96" s="5" t="s">
        <v>1355</v>
      </c>
      <c r="Q96" s="5" t="s">
        <v>1356</v>
      </c>
      <c r="R96" s="5" t="s">
        <v>1357</v>
      </c>
      <c r="S96" s="5" t="s">
        <v>1358</v>
      </c>
      <c r="T96" s="5" t="s">
        <v>1359</v>
      </c>
      <c r="U96" s="5" t="s">
        <v>1360</v>
      </c>
      <c r="V96" s="5"/>
      <c r="W96" s="5" t="s">
        <v>1361</v>
      </c>
      <c r="X96" s="5" t="s">
        <v>1362</v>
      </c>
      <c r="Y96" s="5" t="s">
        <v>1363</v>
      </c>
      <c r="Z96" s="5">
        <v>3.0</v>
      </c>
      <c r="AA96" s="5">
        <v>2026.0</v>
      </c>
      <c r="AB96" s="5" t="s">
        <v>34</v>
      </c>
    </row>
    <row r="97" ht="15.75" customHeight="1">
      <c r="A97" s="4" t="s">
        <v>1364</v>
      </c>
      <c r="B97" s="5" t="s">
        <v>816</v>
      </c>
      <c r="C97" s="12" t="str">
        <f>"https://" &amp; "letterboxd" &amp; ".com/film/mata-2026/"</f>
        <v>https://letterboxd.com/film/mata-2026/</v>
      </c>
      <c r="D97" s="7" t="s">
        <v>1365</v>
      </c>
      <c r="E97" s="5"/>
      <c r="F97" s="5" t="s">
        <v>81</v>
      </c>
      <c r="G97" s="5" t="s">
        <v>64</v>
      </c>
      <c r="H97" s="5" t="s">
        <v>34</v>
      </c>
      <c r="I97" s="8">
        <v>99.0</v>
      </c>
      <c r="J97" s="9" t="s">
        <v>35</v>
      </c>
      <c r="K97" s="5" t="s">
        <v>64</v>
      </c>
      <c r="L97" s="5" t="s">
        <v>34</v>
      </c>
      <c r="M97" s="5"/>
      <c r="N97" s="5"/>
      <c r="O97" s="5"/>
      <c r="P97" s="5" t="s">
        <v>1366</v>
      </c>
      <c r="Q97" s="5" t="s">
        <v>1366</v>
      </c>
      <c r="R97" s="5" t="s">
        <v>1367</v>
      </c>
      <c r="S97" s="5" t="s">
        <v>1368</v>
      </c>
      <c r="T97" s="5" t="s">
        <v>1369</v>
      </c>
      <c r="U97" s="5" t="s">
        <v>1370</v>
      </c>
      <c r="V97" s="5" t="s">
        <v>1371</v>
      </c>
      <c r="W97" s="5" t="s">
        <v>1372</v>
      </c>
      <c r="X97" s="5" t="s">
        <v>1373</v>
      </c>
      <c r="Y97" s="5" t="s">
        <v>1374</v>
      </c>
      <c r="Z97" s="5">
        <v>3.0</v>
      </c>
      <c r="AA97" s="5">
        <v>2026.0</v>
      </c>
      <c r="AB97" s="5" t="s">
        <v>34</v>
      </c>
    </row>
    <row r="98" ht="15.75" customHeight="1">
      <c r="A98" s="4" t="s">
        <v>1375</v>
      </c>
      <c r="B98" s="5" t="s">
        <v>816</v>
      </c>
      <c r="C98" s="12" t="str">
        <f>"https://" &amp; "letterboxd" &amp; ".com/film/memoire-de-fille/"</f>
        <v>https://letterboxd.com/film/memoire-de-fille/</v>
      </c>
      <c r="D98" s="7" t="s">
        <v>1376</v>
      </c>
      <c r="E98" s="5" t="s">
        <v>1377</v>
      </c>
      <c r="F98" s="5" t="s">
        <v>32</v>
      </c>
      <c r="G98" s="5" t="s">
        <v>64</v>
      </c>
      <c r="H98" s="5" t="s">
        <v>34</v>
      </c>
      <c r="I98" s="8">
        <v>117.0</v>
      </c>
      <c r="J98" s="9" t="s">
        <v>35</v>
      </c>
      <c r="K98" s="5" t="s">
        <v>64</v>
      </c>
      <c r="L98" s="5" t="s">
        <v>34</v>
      </c>
      <c r="M98" s="10" t="s">
        <v>65</v>
      </c>
      <c r="N98" s="10" t="s">
        <v>66</v>
      </c>
      <c r="O98" s="10" t="s">
        <v>729</v>
      </c>
      <c r="P98" s="5" t="s">
        <v>1378</v>
      </c>
      <c r="Q98" s="5" t="s">
        <v>1378</v>
      </c>
      <c r="R98" s="5" t="s">
        <v>1379</v>
      </c>
      <c r="S98" s="5" t="s">
        <v>1380</v>
      </c>
      <c r="T98" s="5" t="s">
        <v>1381</v>
      </c>
      <c r="U98" s="5" t="s">
        <v>1382</v>
      </c>
      <c r="V98" s="5" t="s">
        <v>1383</v>
      </c>
      <c r="W98" s="5" t="s">
        <v>1384</v>
      </c>
      <c r="X98" s="5" t="s">
        <v>1385</v>
      </c>
      <c r="Y98" s="5" t="s">
        <v>1386</v>
      </c>
      <c r="Z98" s="5">
        <v>3.0</v>
      </c>
      <c r="AA98" s="5">
        <v>2026.0</v>
      </c>
      <c r="AB98" s="5" t="s">
        <v>34</v>
      </c>
    </row>
    <row r="99" ht="15.75" customHeight="1">
      <c r="A99" s="4" t="s">
        <v>1387</v>
      </c>
      <c r="B99" s="5" t="s">
        <v>816</v>
      </c>
      <c r="C99" s="12" t="s">
        <v>1388</v>
      </c>
      <c r="D99" s="7" t="s">
        <v>1389</v>
      </c>
      <c r="E99" s="5" t="s">
        <v>1390</v>
      </c>
      <c r="F99" s="5" t="s">
        <v>32</v>
      </c>
      <c r="G99" s="5" t="s">
        <v>418</v>
      </c>
      <c r="H99" s="5" t="s">
        <v>83</v>
      </c>
      <c r="I99" s="8">
        <v>80.0</v>
      </c>
      <c r="J99" s="9" t="s">
        <v>98</v>
      </c>
      <c r="K99" s="5" t="s">
        <v>1391</v>
      </c>
      <c r="L99" s="5" t="s">
        <v>83</v>
      </c>
      <c r="M99" s="5"/>
      <c r="N99" s="5"/>
      <c r="O99" s="5"/>
      <c r="P99" s="5" t="s">
        <v>1392</v>
      </c>
      <c r="Q99" s="5" t="s">
        <v>1392</v>
      </c>
      <c r="R99" s="5" t="s">
        <v>1393</v>
      </c>
      <c r="S99" s="5" t="s">
        <v>1394</v>
      </c>
      <c r="T99" s="5" t="s">
        <v>1395</v>
      </c>
      <c r="U99" s="5"/>
      <c r="V99" s="5" t="s">
        <v>1396</v>
      </c>
      <c r="W99" s="5" t="s">
        <v>1397</v>
      </c>
      <c r="X99" s="5" t="s">
        <v>1398</v>
      </c>
      <c r="Y99" s="5" t="s">
        <v>1399</v>
      </c>
      <c r="Z99" s="5">
        <v>3.0</v>
      </c>
      <c r="AA99" s="5">
        <v>2025.0</v>
      </c>
      <c r="AB99" s="5" t="s">
        <v>83</v>
      </c>
    </row>
    <row r="100" ht="15.75" customHeight="1">
      <c r="A100" s="4" t="s">
        <v>1400</v>
      </c>
      <c r="B100" s="5" t="s">
        <v>816</v>
      </c>
      <c r="C100" s="12" t="s">
        <v>1401</v>
      </c>
      <c r="D100" s="7" t="s">
        <v>1402</v>
      </c>
      <c r="E100" s="5" t="s">
        <v>1403</v>
      </c>
      <c r="F100" s="5" t="s">
        <v>32</v>
      </c>
      <c r="G100" s="5" t="s">
        <v>1404</v>
      </c>
      <c r="H100" s="5" t="s">
        <v>34</v>
      </c>
      <c r="I100" s="8">
        <v>133.0</v>
      </c>
      <c r="J100" s="9" t="s">
        <v>35</v>
      </c>
      <c r="K100" s="5" t="s">
        <v>1404</v>
      </c>
      <c r="L100" s="5" t="s">
        <v>34</v>
      </c>
      <c r="M100" s="5"/>
      <c r="N100" s="5"/>
      <c r="O100" s="5"/>
      <c r="P100" s="5" t="s">
        <v>1405</v>
      </c>
      <c r="Q100" s="5" t="s">
        <v>1405</v>
      </c>
      <c r="R100" s="5" t="s">
        <v>1406</v>
      </c>
      <c r="S100" s="5" t="s">
        <v>1407</v>
      </c>
      <c r="T100" s="5" t="s">
        <v>1408</v>
      </c>
      <c r="U100" s="5" t="s">
        <v>1409</v>
      </c>
      <c r="V100" s="5" t="s">
        <v>1410</v>
      </c>
      <c r="W100" s="5" t="s">
        <v>1411</v>
      </c>
      <c r="X100" s="5" t="s">
        <v>1412</v>
      </c>
      <c r="Y100" s="5" t="s">
        <v>1413</v>
      </c>
      <c r="Z100" s="5">
        <v>3.0</v>
      </c>
      <c r="AA100" s="5">
        <v>2026.0</v>
      </c>
      <c r="AB100" s="5" t="s">
        <v>34</v>
      </c>
    </row>
    <row r="101" ht="15.75" customHeight="1">
      <c r="A101" s="4" t="s">
        <v>1414</v>
      </c>
      <c r="B101" s="5" t="s">
        <v>816</v>
      </c>
      <c r="C101" s="12" t="s">
        <v>1415</v>
      </c>
      <c r="D101" s="7" t="s">
        <v>1416</v>
      </c>
      <c r="E101" s="5" t="s">
        <v>1417</v>
      </c>
      <c r="F101" s="5" t="s">
        <v>32</v>
      </c>
      <c r="G101" s="5" t="s">
        <v>64</v>
      </c>
      <c r="H101" s="5" t="s">
        <v>34</v>
      </c>
      <c r="I101" s="8">
        <v>102.0</v>
      </c>
      <c r="J101" s="9" t="s">
        <v>35</v>
      </c>
      <c r="K101" s="5" t="s">
        <v>64</v>
      </c>
      <c r="L101" s="5" t="s">
        <v>34</v>
      </c>
      <c r="M101" s="10" t="s">
        <v>65</v>
      </c>
      <c r="N101" s="10" t="s">
        <v>66</v>
      </c>
      <c r="O101" s="10" t="s">
        <v>1326</v>
      </c>
      <c r="P101" s="5" t="s">
        <v>1418</v>
      </c>
      <c r="Q101" s="5" t="s">
        <v>1419</v>
      </c>
      <c r="R101" s="5" t="s">
        <v>1420</v>
      </c>
      <c r="S101" s="5" t="s">
        <v>1421</v>
      </c>
      <c r="T101" s="5" t="s">
        <v>72</v>
      </c>
      <c r="U101" s="5" t="s">
        <v>73</v>
      </c>
      <c r="V101" s="5"/>
      <c r="W101" s="5" t="s">
        <v>1422</v>
      </c>
      <c r="X101" s="5" t="s">
        <v>1423</v>
      </c>
      <c r="Y101" s="5" t="s">
        <v>1424</v>
      </c>
      <c r="Z101" s="5">
        <v>3.0</v>
      </c>
      <c r="AA101" s="5">
        <v>2026.0</v>
      </c>
      <c r="AB101" s="5" t="s">
        <v>34</v>
      </c>
    </row>
    <row r="102" ht="15.75" customHeight="1">
      <c r="A102" s="4" t="s">
        <v>1425</v>
      </c>
      <c r="B102" s="5" t="s">
        <v>816</v>
      </c>
      <c r="C102" s="12" t="s">
        <v>1426</v>
      </c>
      <c r="D102" s="7" t="s">
        <v>1427</v>
      </c>
      <c r="E102" s="5" t="s">
        <v>1428</v>
      </c>
      <c r="F102" s="5" t="s">
        <v>32</v>
      </c>
      <c r="G102" s="5" t="s">
        <v>434</v>
      </c>
      <c r="H102" s="5" t="s">
        <v>34</v>
      </c>
      <c r="I102" s="8">
        <v>102.0</v>
      </c>
      <c r="J102" s="9" t="s">
        <v>35</v>
      </c>
      <c r="K102" s="5" t="s">
        <v>1429</v>
      </c>
      <c r="L102" s="5" t="s">
        <v>34</v>
      </c>
      <c r="M102" s="10" t="s">
        <v>65</v>
      </c>
      <c r="N102" s="10" t="s">
        <v>66</v>
      </c>
      <c r="O102" s="10" t="s">
        <v>67</v>
      </c>
      <c r="P102" s="5" t="s">
        <v>1430</v>
      </c>
      <c r="Q102" s="5" t="s">
        <v>1430</v>
      </c>
      <c r="R102" s="5" t="s">
        <v>1431</v>
      </c>
      <c r="S102" s="5" t="s">
        <v>1432</v>
      </c>
      <c r="T102" s="5" t="s">
        <v>1433</v>
      </c>
      <c r="U102" s="5" t="s">
        <v>674</v>
      </c>
      <c r="V102" s="5" t="s">
        <v>1434</v>
      </c>
      <c r="W102" s="5" t="s">
        <v>1435</v>
      </c>
      <c r="X102" s="5" t="s">
        <v>1436</v>
      </c>
      <c r="Y102" s="5" t="s">
        <v>1437</v>
      </c>
      <c r="Z102" s="5">
        <v>3.0</v>
      </c>
      <c r="AA102" s="5">
        <v>2026.0</v>
      </c>
      <c r="AB102" s="5" t="s">
        <v>34</v>
      </c>
    </row>
    <row r="103" ht="15.75" customHeight="1">
      <c r="A103" s="4" t="s">
        <v>1438</v>
      </c>
      <c r="B103" s="5" t="s">
        <v>816</v>
      </c>
      <c r="C103" s="12" t="str">
        <f>"https://" &amp; "letterboxd" &amp; ".com/film/eva-2026/"</f>
        <v>https://letterboxd.com/film/eva-2026/</v>
      </c>
      <c r="D103" s="7" t="s">
        <v>1439</v>
      </c>
      <c r="E103" s="5" t="s">
        <v>1440</v>
      </c>
      <c r="F103" s="5" t="s">
        <v>32</v>
      </c>
      <c r="G103" s="5" t="s">
        <v>573</v>
      </c>
      <c r="H103" s="5" t="s">
        <v>34</v>
      </c>
      <c r="I103" s="8">
        <v>101.0</v>
      </c>
      <c r="J103" s="9" t="s">
        <v>35</v>
      </c>
      <c r="K103" s="5" t="s">
        <v>573</v>
      </c>
      <c r="L103" s="5" t="s">
        <v>34</v>
      </c>
      <c r="M103" s="5"/>
      <c r="N103" s="5"/>
      <c r="O103" s="5"/>
      <c r="P103" s="5" t="s">
        <v>1441</v>
      </c>
      <c r="Q103" s="5" t="s">
        <v>1441</v>
      </c>
      <c r="R103" s="5" t="s">
        <v>1442</v>
      </c>
      <c r="S103" s="5" t="s">
        <v>1443</v>
      </c>
      <c r="T103" s="5" t="s">
        <v>1444</v>
      </c>
      <c r="U103" s="5" t="s">
        <v>1445</v>
      </c>
      <c r="V103" s="5" t="s">
        <v>1446</v>
      </c>
      <c r="W103" s="5" t="s">
        <v>1447</v>
      </c>
      <c r="X103" s="5" t="s">
        <v>1448</v>
      </c>
      <c r="Y103" s="5" t="s">
        <v>1449</v>
      </c>
      <c r="Z103" s="5">
        <v>3.0</v>
      </c>
      <c r="AA103" s="5">
        <v>2026.0</v>
      </c>
      <c r="AB103" s="5" t="s">
        <v>34</v>
      </c>
    </row>
    <row r="104" ht="15.75" customHeight="1">
      <c r="A104" s="4" t="s">
        <v>1450</v>
      </c>
      <c r="B104" s="5" t="s">
        <v>816</v>
      </c>
      <c r="C104" s="12" t="str">
        <f>"https://" &amp; "letterboxd" &amp; ".com/film/oculos-de-sol-pretos/"</f>
        <v>https://letterboxd.com/film/oculos-de-sol-pretos/</v>
      </c>
      <c r="D104" s="7" t="s">
        <v>1451</v>
      </c>
      <c r="E104" s="5"/>
      <c r="F104" s="5" t="s">
        <v>81</v>
      </c>
      <c r="G104" s="5" t="s">
        <v>1339</v>
      </c>
      <c r="H104" s="5" t="s">
        <v>34</v>
      </c>
      <c r="I104" s="8">
        <v>71.0</v>
      </c>
      <c r="J104" s="9" t="s">
        <v>98</v>
      </c>
      <c r="K104" s="5" t="s">
        <v>1339</v>
      </c>
      <c r="L104" s="5" t="s">
        <v>34</v>
      </c>
      <c r="M104" s="5"/>
      <c r="N104" s="5"/>
      <c r="O104" s="5"/>
      <c r="P104" s="5" t="s">
        <v>1452</v>
      </c>
      <c r="Q104" s="5" t="s">
        <v>1452</v>
      </c>
      <c r="R104" s="5" t="s">
        <v>1453</v>
      </c>
      <c r="S104" s="5" t="s">
        <v>1454</v>
      </c>
      <c r="T104" s="5" t="s">
        <v>1455</v>
      </c>
      <c r="U104" s="5" t="s">
        <v>1456</v>
      </c>
      <c r="V104" s="5"/>
      <c r="W104" s="5" t="s">
        <v>1457</v>
      </c>
      <c r="X104" s="5" t="s">
        <v>1458</v>
      </c>
      <c r="Y104" s="5" t="s">
        <v>1459</v>
      </c>
      <c r="Z104" s="5">
        <v>3.0</v>
      </c>
      <c r="AA104" s="5">
        <v>2025.0</v>
      </c>
      <c r="AB104" s="5" t="s">
        <v>34</v>
      </c>
    </row>
    <row r="105" ht="15.75" customHeight="1">
      <c r="A105" s="4" t="s">
        <v>1460</v>
      </c>
      <c r="B105" s="5" t="s">
        <v>816</v>
      </c>
      <c r="C105" s="12" t="str">
        <f>"https://" &amp; "letterboxd" &amp; ".com/film/father-father/"</f>
        <v>https://letterboxd.com/film/father-father/</v>
      </c>
      <c r="D105" s="7" t="s">
        <v>1461</v>
      </c>
      <c r="E105" s="5" t="s">
        <v>1462</v>
      </c>
      <c r="F105" s="5" t="s">
        <v>32</v>
      </c>
      <c r="G105" s="5" t="s">
        <v>261</v>
      </c>
      <c r="H105" s="5" t="s">
        <v>83</v>
      </c>
      <c r="I105" s="8">
        <v>68.0</v>
      </c>
      <c r="J105" s="9" t="s">
        <v>35</v>
      </c>
      <c r="K105" s="5" t="s">
        <v>261</v>
      </c>
      <c r="L105" s="5" t="s">
        <v>83</v>
      </c>
      <c r="M105" s="5"/>
      <c r="N105" s="5"/>
      <c r="O105" s="5"/>
      <c r="P105" s="5" t="s">
        <v>1463</v>
      </c>
      <c r="Q105" s="5"/>
      <c r="R105" s="5"/>
      <c r="S105" s="5" t="s">
        <v>1464</v>
      </c>
      <c r="T105" s="5"/>
      <c r="U105" s="5"/>
      <c r="V105" s="5"/>
      <c r="W105" s="5"/>
      <c r="X105" s="5" t="s">
        <v>1465</v>
      </c>
      <c r="Y105" s="5" t="s">
        <v>1466</v>
      </c>
      <c r="Z105" s="5">
        <v>3.0</v>
      </c>
      <c r="AA105" s="5">
        <v>2026.0</v>
      </c>
      <c r="AB105" s="5" t="s">
        <v>83</v>
      </c>
    </row>
    <row r="106" ht="15.75" customHeight="1">
      <c r="A106" s="4" t="s">
        <v>1467</v>
      </c>
      <c r="B106" s="5" t="s">
        <v>816</v>
      </c>
      <c r="C106" s="12" t="s">
        <v>1468</v>
      </c>
      <c r="D106" s="7" t="s">
        <v>1469</v>
      </c>
      <c r="E106" s="5" t="s">
        <v>1470</v>
      </c>
      <c r="F106" s="5" t="s">
        <v>32</v>
      </c>
      <c r="G106" s="5" t="s">
        <v>1471</v>
      </c>
      <c r="H106" s="5" t="s">
        <v>34</v>
      </c>
      <c r="I106" s="8">
        <v>90.0</v>
      </c>
      <c r="J106" s="9" t="s">
        <v>35</v>
      </c>
      <c r="K106" s="5" t="s">
        <v>1472</v>
      </c>
      <c r="L106" s="5" t="s">
        <v>34</v>
      </c>
      <c r="M106" s="5"/>
      <c r="N106" s="5"/>
      <c r="O106" s="5"/>
      <c r="P106" s="5" t="s">
        <v>1473</v>
      </c>
      <c r="Q106" s="5" t="s">
        <v>1474</v>
      </c>
      <c r="R106" s="5" t="s">
        <v>1475</v>
      </c>
      <c r="S106" s="5" t="s">
        <v>1476</v>
      </c>
      <c r="T106" s="5" t="s">
        <v>1477</v>
      </c>
      <c r="U106" s="5" t="s">
        <v>1473</v>
      </c>
      <c r="V106" s="5" t="s">
        <v>211</v>
      </c>
      <c r="W106" s="5" t="s">
        <v>1478</v>
      </c>
      <c r="X106" s="5" t="s">
        <v>1479</v>
      </c>
      <c r="Y106" s="5" t="s">
        <v>1480</v>
      </c>
      <c r="Z106" s="5">
        <v>5.0</v>
      </c>
      <c r="AA106" s="5">
        <v>2026.0</v>
      </c>
      <c r="AB106" s="5" t="s">
        <v>34</v>
      </c>
    </row>
    <row r="107" ht="15.75" customHeight="1">
      <c r="A107" s="4" t="s">
        <v>1481</v>
      </c>
      <c r="B107" s="5" t="s">
        <v>816</v>
      </c>
      <c r="C107" s="12" t="s">
        <v>1482</v>
      </c>
      <c r="D107" s="7" t="s">
        <v>1483</v>
      </c>
      <c r="E107" s="5" t="s">
        <v>1484</v>
      </c>
      <c r="F107" s="5" t="s">
        <v>32</v>
      </c>
      <c r="G107" s="5" t="s">
        <v>33</v>
      </c>
      <c r="H107" s="5" t="s">
        <v>34</v>
      </c>
      <c r="I107" s="8">
        <v>107.0</v>
      </c>
      <c r="J107" s="9" t="s">
        <v>35</v>
      </c>
      <c r="K107" s="5" t="s">
        <v>1485</v>
      </c>
      <c r="L107" s="5" t="s">
        <v>34</v>
      </c>
      <c r="M107" s="5"/>
      <c r="N107" s="5"/>
      <c r="O107" s="5"/>
      <c r="P107" s="5" t="s">
        <v>1486</v>
      </c>
      <c r="Q107" s="5" t="s">
        <v>1486</v>
      </c>
      <c r="R107" s="5"/>
      <c r="S107" s="5" t="s">
        <v>1487</v>
      </c>
      <c r="T107" s="5" t="s">
        <v>1488</v>
      </c>
      <c r="U107" s="5"/>
      <c r="V107" s="5" t="s">
        <v>1489</v>
      </c>
      <c r="W107" s="5" t="s">
        <v>1490</v>
      </c>
      <c r="X107" s="5" t="s">
        <v>1491</v>
      </c>
      <c r="Y107" s="5" t="s">
        <v>1492</v>
      </c>
      <c r="Z107" s="5">
        <v>3.0</v>
      </c>
      <c r="AA107" s="5">
        <v>2026.0</v>
      </c>
      <c r="AB107" s="5" t="s">
        <v>34</v>
      </c>
    </row>
    <row r="108" ht="15.75" customHeight="1">
      <c r="A108" s="4" t="s">
        <v>1493</v>
      </c>
      <c r="B108" s="5" t="s">
        <v>816</v>
      </c>
      <c r="C108" s="12" t="str">
        <f>"https://" &amp; "letterboxd" &amp; ".com/film/huangyan-shenghuo/"</f>
        <v>https://letterboxd.com/film/huangyan-shenghuo/</v>
      </c>
      <c r="D108" s="7" t="s">
        <v>1494</v>
      </c>
      <c r="E108" s="5" t="s">
        <v>1495</v>
      </c>
      <c r="F108" s="5" t="s">
        <v>32</v>
      </c>
      <c r="G108" s="5" t="s">
        <v>1496</v>
      </c>
      <c r="H108" s="5" t="s">
        <v>34</v>
      </c>
      <c r="I108" s="8">
        <v>109.0</v>
      </c>
      <c r="J108" s="9" t="s">
        <v>35</v>
      </c>
      <c r="K108" s="5" t="s">
        <v>1497</v>
      </c>
      <c r="L108" s="5" t="s">
        <v>34</v>
      </c>
      <c r="M108" s="10" t="s">
        <v>65</v>
      </c>
      <c r="N108" s="10" t="s">
        <v>111</v>
      </c>
      <c r="O108" s="10" t="s">
        <v>1498</v>
      </c>
      <c r="P108" s="5" t="s">
        <v>1499</v>
      </c>
      <c r="Q108" s="5" t="s">
        <v>1499</v>
      </c>
      <c r="R108" s="5" t="s">
        <v>1500</v>
      </c>
      <c r="S108" s="5" t="s">
        <v>1501</v>
      </c>
      <c r="T108" s="5" t="s">
        <v>1502</v>
      </c>
      <c r="U108" s="5" t="s">
        <v>1503</v>
      </c>
      <c r="V108" s="5" t="s">
        <v>1504</v>
      </c>
      <c r="W108" s="5" t="s">
        <v>1505</v>
      </c>
      <c r="X108" s="5" t="s">
        <v>1506</v>
      </c>
      <c r="Y108" s="5" t="s">
        <v>1507</v>
      </c>
      <c r="Z108" s="5">
        <v>3.0</v>
      </c>
      <c r="AA108" s="5">
        <v>2026.0</v>
      </c>
      <c r="AB108" s="5" t="s">
        <v>34</v>
      </c>
    </row>
    <row r="109" ht="15.75" customHeight="1">
      <c r="A109" s="4" t="s">
        <v>1508</v>
      </c>
      <c r="B109" s="5" t="s">
        <v>816</v>
      </c>
      <c r="C109" s="12" t="s">
        <v>1509</v>
      </c>
      <c r="D109" s="7" t="s">
        <v>1510</v>
      </c>
      <c r="E109" s="5" t="s">
        <v>1511</v>
      </c>
      <c r="F109" s="5" t="s">
        <v>32</v>
      </c>
      <c r="G109" s="5" t="s">
        <v>615</v>
      </c>
      <c r="H109" s="5" t="s">
        <v>34</v>
      </c>
      <c r="I109" s="8">
        <v>93.0</v>
      </c>
      <c r="J109" s="9" t="s">
        <v>35</v>
      </c>
      <c r="K109" s="5" t="s">
        <v>1512</v>
      </c>
      <c r="L109" s="5" t="s">
        <v>34</v>
      </c>
      <c r="M109" s="10" t="s">
        <v>65</v>
      </c>
      <c r="N109" s="10" t="s">
        <v>66</v>
      </c>
      <c r="O109" s="10" t="s">
        <v>1326</v>
      </c>
      <c r="P109" s="5" t="s">
        <v>1513</v>
      </c>
      <c r="Q109" s="5" t="s">
        <v>1513</v>
      </c>
      <c r="R109" s="5" t="s">
        <v>1514</v>
      </c>
      <c r="S109" s="5" t="s">
        <v>1515</v>
      </c>
      <c r="T109" s="5" t="s">
        <v>1516</v>
      </c>
      <c r="U109" s="5" t="s">
        <v>1517</v>
      </c>
      <c r="V109" s="5" t="s">
        <v>1518</v>
      </c>
      <c r="W109" s="5" t="s">
        <v>1519</v>
      </c>
      <c r="X109" s="5" t="s">
        <v>1520</v>
      </c>
      <c r="Y109" s="5" t="s">
        <v>1521</v>
      </c>
      <c r="Z109" s="5">
        <v>3.0</v>
      </c>
      <c r="AA109" s="5">
        <v>2026.0</v>
      </c>
      <c r="AB109" s="5" t="s">
        <v>34</v>
      </c>
    </row>
    <row r="110" ht="15.75" customHeight="1">
      <c r="A110" s="4" t="s">
        <v>1522</v>
      </c>
      <c r="B110" s="5" t="s">
        <v>816</v>
      </c>
      <c r="C110" s="12" t="s">
        <v>1523</v>
      </c>
      <c r="D110" s="7" t="s">
        <v>1524</v>
      </c>
      <c r="E110" s="5" t="s">
        <v>1525</v>
      </c>
      <c r="F110" s="5" t="s">
        <v>32</v>
      </c>
      <c r="G110" s="5" t="s">
        <v>1526</v>
      </c>
      <c r="H110" s="5" t="s">
        <v>34</v>
      </c>
      <c r="I110" s="8">
        <v>95.0</v>
      </c>
      <c r="J110" s="9" t="s">
        <v>35</v>
      </c>
      <c r="K110" s="5" t="s">
        <v>1527</v>
      </c>
      <c r="L110" s="5" t="s">
        <v>34</v>
      </c>
      <c r="M110" s="5"/>
      <c r="N110" s="5"/>
      <c r="O110" s="5"/>
      <c r="P110" s="5" t="s">
        <v>1528</v>
      </c>
      <c r="Q110" s="5" t="s">
        <v>1528</v>
      </c>
      <c r="R110" s="5" t="s">
        <v>1529</v>
      </c>
      <c r="S110" s="5" t="s">
        <v>1530</v>
      </c>
      <c r="T110" s="5" t="s">
        <v>1531</v>
      </c>
      <c r="U110" s="5" t="s">
        <v>1532</v>
      </c>
      <c r="V110" s="5" t="s">
        <v>1533</v>
      </c>
      <c r="W110" s="5" t="s">
        <v>1534</v>
      </c>
      <c r="X110" s="5" t="s">
        <v>1535</v>
      </c>
      <c r="Y110" s="5" t="s">
        <v>1536</v>
      </c>
      <c r="Z110" s="5">
        <v>4.0</v>
      </c>
      <c r="AA110" s="5">
        <v>2026.0</v>
      </c>
      <c r="AB110" s="5" t="s">
        <v>34</v>
      </c>
    </row>
    <row r="111" ht="15.75" customHeight="1">
      <c r="A111" s="4" t="s">
        <v>1537</v>
      </c>
      <c r="B111" s="5" t="s">
        <v>816</v>
      </c>
      <c r="C111" s="12" t="s">
        <v>1538</v>
      </c>
      <c r="D111" s="7" t="s">
        <v>1539</v>
      </c>
      <c r="E111" s="5" t="s">
        <v>1540</v>
      </c>
      <c r="F111" s="5" t="s">
        <v>32</v>
      </c>
      <c r="G111" s="5" t="s">
        <v>1541</v>
      </c>
      <c r="H111" s="5" t="s">
        <v>34</v>
      </c>
      <c r="I111" s="8">
        <v>115.0</v>
      </c>
      <c r="J111" s="9" t="s">
        <v>35</v>
      </c>
      <c r="K111" s="5" t="s">
        <v>1541</v>
      </c>
      <c r="L111" s="5" t="s">
        <v>34</v>
      </c>
      <c r="M111" s="10" t="s">
        <v>65</v>
      </c>
      <c r="N111" s="10" t="s">
        <v>111</v>
      </c>
      <c r="O111" s="10" t="s">
        <v>985</v>
      </c>
      <c r="P111" s="5" t="s">
        <v>1542</v>
      </c>
      <c r="Q111" s="5" t="s">
        <v>1543</v>
      </c>
      <c r="R111" s="5" t="s">
        <v>1544</v>
      </c>
      <c r="S111" s="5" t="s">
        <v>1545</v>
      </c>
      <c r="T111" s="5" t="s">
        <v>1546</v>
      </c>
      <c r="U111" s="5" t="s">
        <v>1547</v>
      </c>
      <c r="V111" s="5" t="s">
        <v>1548</v>
      </c>
      <c r="W111" s="5" t="s">
        <v>1549</v>
      </c>
      <c r="X111" s="5" t="s">
        <v>1550</v>
      </c>
      <c r="Y111" s="5" t="s">
        <v>1551</v>
      </c>
      <c r="Z111" s="5">
        <v>3.0</v>
      </c>
      <c r="AA111" s="5">
        <v>2026.0</v>
      </c>
      <c r="AB111" s="5" t="s">
        <v>34</v>
      </c>
    </row>
    <row r="112" ht="15.75" customHeight="1">
      <c r="A112" s="4" t="s">
        <v>1552</v>
      </c>
      <c r="B112" s="5" t="s">
        <v>816</v>
      </c>
      <c r="C112" s="12" t="str">
        <f>"https://" &amp; "letterboxd" &amp; ".com/film/da-xi-yang/"</f>
        <v>https://letterboxd.com/film/da-xi-yang/</v>
      </c>
      <c r="D112" s="7" t="s">
        <v>1553</v>
      </c>
      <c r="E112" s="5" t="s">
        <v>1554</v>
      </c>
      <c r="F112" s="5" t="s">
        <v>32</v>
      </c>
      <c r="G112" s="5" t="s">
        <v>1029</v>
      </c>
      <c r="H112" s="5" t="s">
        <v>34</v>
      </c>
      <c r="I112" s="8">
        <v>101.0</v>
      </c>
      <c r="J112" s="9" t="s">
        <v>35</v>
      </c>
      <c r="K112" s="5" t="s">
        <v>1029</v>
      </c>
      <c r="L112" s="5" t="s">
        <v>34</v>
      </c>
      <c r="M112" s="5"/>
      <c r="N112" s="5"/>
      <c r="O112" s="5"/>
      <c r="P112" s="5" t="s">
        <v>1555</v>
      </c>
      <c r="Q112" s="5" t="s">
        <v>1556</v>
      </c>
      <c r="R112" s="5" t="s">
        <v>1557</v>
      </c>
      <c r="S112" s="5" t="s">
        <v>1558</v>
      </c>
      <c r="T112" s="5" t="s">
        <v>1559</v>
      </c>
      <c r="U112" s="5" t="s">
        <v>1560</v>
      </c>
      <c r="V112" s="5"/>
      <c r="W112" s="5" t="s">
        <v>1561</v>
      </c>
      <c r="X112" s="5" t="s">
        <v>1562</v>
      </c>
      <c r="Y112" s="5" t="s">
        <v>1563</v>
      </c>
      <c r="Z112" s="5">
        <v>3.0</v>
      </c>
      <c r="AA112" s="5">
        <v>2026.0</v>
      </c>
      <c r="AB112" s="5" t="s">
        <v>34</v>
      </c>
    </row>
    <row r="113" ht="15.75" customHeight="1">
      <c r="A113" s="4" t="s">
        <v>1564</v>
      </c>
      <c r="B113" s="5" t="s">
        <v>816</v>
      </c>
      <c r="C113" s="12" t="s">
        <v>1565</v>
      </c>
      <c r="D113" s="7" t="s">
        <v>1566</v>
      </c>
      <c r="E113" s="5"/>
      <c r="F113" s="5" t="s">
        <v>81</v>
      </c>
      <c r="G113" s="5" t="s">
        <v>275</v>
      </c>
      <c r="H113" s="5" t="s">
        <v>34</v>
      </c>
      <c r="I113" s="8">
        <v>92.0</v>
      </c>
      <c r="J113" s="9" t="s">
        <v>35</v>
      </c>
      <c r="K113" s="5" t="s">
        <v>1567</v>
      </c>
      <c r="L113" s="5" t="s">
        <v>34</v>
      </c>
      <c r="M113" s="5"/>
      <c r="N113" s="5"/>
      <c r="O113" s="5"/>
      <c r="P113" s="5" t="s">
        <v>1568</v>
      </c>
      <c r="Q113" s="5" t="s">
        <v>1568</v>
      </c>
      <c r="R113" s="5" t="s">
        <v>1569</v>
      </c>
      <c r="S113" s="5" t="s">
        <v>1570</v>
      </c>
      <c r="T113" s="5" t="s">
        <v>1571</v>
      </c>
      <c r="U113" s="5" t="s">
        <v>1572</v>
      </c>
      <c r="V113" s="5" t="s">
        <v>1573</v>
      </c>
      <c r="W113" s="5" t="s">
        <v>1574</v>
      </c>
      <c r="X113" s="5" t="s">
        <v>1575</v>
      </c>
      <c r="Y113" s="5" t="s">
        <v>1576</v>
      </c>
      <c r="Z113" s="5">
        <v>3.0</v>
      </c>
      <c r="AA113" s="5">
        <v>2026.0</v>
      </c>
      <c r="AB113" s="5" t="s">
        <v>34</v>
      </c>
    </row>
    <row r="114" ht="15.75" customHeight="1">
      <c r="A114" s="4" t="s">
        <v>1577</v>
      </c>
      <c r="B114" s="5" t="s">
        <v>816</v>
      </c>
      <c r="C114" s="12" t="str">
        <f>"https://" &amp; "letterboxd" &amp; ".com/film/khoroug-amen/"</f>
        <v>https://letterboxd.com/film/khoroug-amen/</v>
      </c>
      <c r="D114" s="7" t="s">
        <v>1578</v>
      </c>
      <c r="E114" s="5" t="s">
        <v>1579</v>
      </c>
      <c r="F114" s="5" t="s">
        <v>32</v>
      </c>
      <c r="G114" s="5" t="s">
        <v>1580</v>
      </c>
      <c r="H114" s="5" t="s">
        <v>34</v>
      </c>
      <c r="I114" s="8">
        <v>114.0</v>
      </c>
      <c r="J114" s="9" t="s">
        <v>35</v>
      </c>
      <c r="K114" s="5" t="s">
        <v>1581</v>
      </c>
      <c r="L114" s="5" t="s">
        <v>34</v>
      </c>
      <c r="M114" s="5"/>
      <c r="N114" s="5"/>
      <c r="O114" s="5"/>
      <c r="P114" s="5" t="s">
        <v>1582</v>
      </c>
      <c r="Q114" s="5" t="s">
        <v>1582</v>
      </c>
      <c r="R114" s="5" t="s">
        <v>1583</v>
      </c>
      <c r="S114" s="5" t="s">
        <v>1584</v>
      </c>
      <c r="T114" s="5" t="s">
        <v>1585</v>
      </c>
      <c r="U114" s="5" t="s">
        <v>1586</v>
      </c>
      <c r="V114" s="5"/>
      <c r="W114" s="5" t="s">
        <v>1587</v>
      </c>
      <c r="X114" s="5" t="s">
        <v>1588</v>
      </c>
      <c r="Y114" s="5" t="s">
        <v>1589</v>
      </c>
      <c r="Z114" s="5">
        <v>3.0</v>
      </c>
      <c r="AA114" s="5">
        <v>2026.0</v>
      </c>
      <c r="AB114" s="5" t="s">
        <v>34</v>
      </c>
    </row>
    <row r="115" ht="15.75" customHeight="1">
      <c r="A115" s="4" t="s">
        <v>1590</v>
      </c>
      <c r="B115" s="5" t="s">
        <v>816</v>
      </c>
      <c r="C115" s="12" t="s">
        <v>1591</v>
      </c>
      <c r="D115" s="7" t="s">
        <v>1592</v>
      </c>
      <c r="E115" s="5"/>
      <c r="F115" s="5" t="s">
        <v>81</v>
      </c>
      <c r="G115" s="5" t="s">
        <v>1339</v>
      </c>
      <c r="H115" s="5" t="s">
        <v>34</v>
      </c>
      <c r="I115" s="8">
        <v>120.0</v>
      </c>
      <c r="J115" s="9" t="s">
        <v>35</v>
      </c>
      <c r="K115" s="5" t="s">
        <v>1339</v>
      </c>
      <c r="L115" s="5" t="s">
        <v>34</v>
      </c>
      <c r="M115" s="5"/>
      <c r="N115" s="5"/>
      <c r="O115" s="5"/>
      <c r="P115" s="5" t="s">
        <v>1593</v>
      </c>
      <c r="Q115" s="5" t="s">
        <v>1594</v>
      </c>
      <c r="R115" s="5" t="s">
        <v>1595</v>
      </c>
      <c r="S115" s="5" t="s">
        <v>1596</v>
      </c>
      <c r="T115" s="5" t="s">
        <v>1597</v>
      </c>
      <c r="U115" s="5" t="s">
        <v>1598</v>
      </c>
      <c r="V115" s="5" t="s">
        <v>1599</v>
      </c>
      <c r="W115" s="5" t="s">
        <v>1600</v>
      </c>
      <c r="X115" s="5" t="s">
        <v>1601</v>
      </c>
      <c r="Y115" s="5" t="s">
        <v>1602</v>
      </c>
      <c r="Z115" s="5">
        <v>3.0</v>
      </c>
      <c r="AA115" s="5">
        <v>2026.0</v>
      </c>
      <c r="AB115" s="5" t="s">
        <v>34</v>
      </c>
    </row>
    <row r="116" ht="15.75" customHeight="1">
      <c r="A116" s="4" t="s">
        <v>1603</v>
      </c>
      <c r="B116" s="5" t="s">
        <v>816</v>
      </c>
      <c r="C116" s="12" t="s">
        <v>1604</v>
      </c>
      <c r="D116" s="7" t="s">
        <v>1605</v>
      </c>
      <c r="E116" s="5" t="s">
        <v>1606</v>
      </c>
      <c r="F116" s="5" t="s">
        <v>32</v>
      </c>
      <c r="G116" s="5" t="s">
        <v>33</v>
      </c>
      <c r="H116" s="5" t="s">
        <v>34</v>
      </c>
      <c r="I116" s="8">
        <v>91.0</v>
      </c>
      <c r="J116" s="9" t="s">
        <v>35</v>
      </c>
      <c r="K116" s="5" t="s">
        <v>33</v>
      </c>
      <c r="L116" s="5" t="s">
        <v>34</v>
      </c>
      <c r="M116" s="5"/>
      <c r="N116" s="5"/>
      <c r="O116" s="5"/>
      <c r="P116" s="5" t="s">
        <v>1607</v>
      </c>
      <c r="Q116" s="5" t="s">
        <v>1608</v>
      </c>
      <c r="R116" s="5" t="s">
        <v>1609</v>
      </c>
      <c r="S116" s="5" t="s">
        <v>1610</v>
      </c>
      <c r="T116" s="5" t="s">
        <v>1611</v>
      </c>
      <c r="U116" s="5" t="s">
        <v>1612</v>
      </c>
      <c r="V116" s="5" t="s">
        <v>1613</v>
      </c>
      <c r="W116" s="5" t="s">
        <v>1614</v>
      </c>
      <c r="X116" s="5" t="s">
        <v>1615</v>
      </c>
      <c r="Y116" s="5" t="s">
        <v>1616</v>
      </c>
      <c r="Z116" s="5">
        <v>3.0</v>
      </c>
      <c r="AA116" s="5">
        <v>2026.0</v>
      </c>
      <c r="AB116" s="5" t="s">
        <v>34</v>
      </c>
    </row>
    <row r="117" ht="15.75" customHeight="1">
      <c r="A117" s="4" t="s">
        <v>1617</v>
      </c>
      <c r="B117" s="5" t="s">
        <v>816</v>
      </c>
      <c r="C117" s="12" t="s">
        <v>1618</v>
      </c>
      <c r="D117" s="7" t="s">
        <v>1619</v>
      </c>
      <c r="E117" s="5" t="s">
        <v>1620</v>
      </c>
      <c r="F117" s="5" t="s">
        <v>32</v>
      </c>
      <c r="G117" s="5" t="s">
        <v>573</v>
      </c>
      <c r="H117" s="5" t="s">
        <v>34</v>
      </c>
      <c r="I117" s="8">
        <v>88.0</v>
      </c>
      <c r="J117" s="9" t="s">
        <v>35</v>
      </c>
      <c r="K117" s="5" t="s">
        <v>573</v>
      </c>
      <c r="L117" s="5" t="s">
        <v>34</v>
      </c>
      <c r="M117" s="5"/>
      <c r="N117" s="5"/>
      <c r="O117" s="5"/>
      <c r="P117" s="5" t="s">
        <v>1621</v>
      </c>
      <c r="Q117" s="5" t="s">
        <v>1622</v>
      </c>
      <c r="R117" s="5" t="s">
        <v>1623</v>
      </c>
      <c r="S117" s="5" t="s">
        <v>1624</v>
      </c>
      <c r="T117" s="5" t="s">
        <v>1625</v>
      </c>
      <c r="U117" s="5" t="s">
        <v>690</v>
      </c>
      <c r="V117" s="5" t="s">
        <v>1626</v>
      </c>
      <c r="W117" s="5" t="s">
        <v>1627</v>
      </c>
      <c r="X117" s="5" t="s">
        <v>1628</v>
      </c>
      <c r="Y117" s="5" t="s">
        <v>1629</v>
      </c>
      <c r="Z117" s="5">
        <v>3.0</v>
      </c>
      <c r="AA117" s="5">
        <v>2026.0</v>
      </c>
      <c r="AB117" s="5" t="s">
        <v>34</v>
      </c>
    </row>
    <row r="118" ht="15.75" customHeight="1">
      <c r="A118" s="4" t="s">
        <v>1630</v>
      </c>
      <c r="B118" s="5" t="s">
        <v>816</v>
      </c>
      <c r="C118" s="12" t="str">
        <f>"https://" &amp; "letterboxd" &amp; ".com/film/enjoy-your-stay/"</f>
        <v>https://letterboxd.com/film/enjoy-your-stay/</v>
      </c>
      <c r="D118" s="7" t="s">
        <v>1631</v>
      </c>
      <c r="E118" s="5" t="s">
        <v>1632</v>
      </c>
      <c r="F118" s="5" t="s">
        <v>32</v>
      </c>
      <c r="G118" s="5" t="s">
        <v>1633</v>
      </c>
      <c r="H118" s="5" t="s">
        <v>34</v>
      </c>
      <c r="I118" s="8">
        <v>99.0</v>
      </c>
      <c r="J118" s="9" t="s">
        <v>35</v>
      </c>
      <c r="K118" s="5" t="s">
        <v>1634</v>
      </c>
      <c r="L118" s="5" t="s">
        <v>34</v>
      </c>
      <c r="M118" s="5"/>
      <c r="N118" s="5"/>
      <c r="O118" s="5"/>
      <c r="P118" s="5" t="s">
        <v>1635</v>
      </c>
      <c r="Q118" s="5" t="s">
        <v>1636</v>
      </c>
      <c r="R118" s="5" t="s">
        <v>1637</v>
      </c>
      <c r="S118" s="5" t="s">
        <v>1638</v>
      </c>
      <c r="T118" s="5" t="s">
        <v>1639</v>
      </c>
      <c r="U118" s="5" t="s">
        <v>1640</v>
      </c>
      <c r="V118" s="5"/>
      <c r="W118" s="5" t="s">
        <v>1641</v>
      </c>
      <c r="X118" s="5" t="s">
        <v>1642</v>
      </c>
      <c r="Y118" s="5" t="s">
        <v>1643</v>
      </c>
      <c r="Z118" s="5">
        <v>3.0</v>
      </c>
      <c r="AA118" s="5">
        <v>2026.0</v>
      </c>
      <c r="AB118" s="5" t="s">
        <v>34</v>
      </c>
    </row>
    <row r="119" ht="15.75" customHeight="1">
      <c r="A119" s="4" t="s">
        <v>1644</v>
      </c>
      <c r="B119" s="5" t="s">
        <v>816</v>
      </c>
      <c r="C119" s="12" t="s">
        <v>1645</v>
      </c>
      <c r="D119" s="7" t="s">
        <v>1646</v>
      </c>
      <c r="E119" s="5" t="s">
        <v>1647</v>
      </c>
      <c r="F119" s="5" t="s">
        <v>32</v>
      </c>
      <c r="G119" s="5" t="s">
        <v>126</v>
      </c>
      <c r="H119" s="5" t="s">
        <v>34</v>
      </c>
      <c r="I119" s="8">
        <v>131.0</v>
      </c>
      <c r="J119" s="9" t="s">
        <v>35</v>
      </c>
      <c r="K119" s="5" t="s">
        <v>1648</v>
      </c>
      <c r="L119" s="5" t="s">
        <v>34</v>
      </c>
      <c r="M119" s="5"/>
      <c r="N119" s="5"/>
      <c r="O119" s="5"/>
      <c r="P119" s="5" t="s">
        <v>1649</v>
      </c>
      <c r="Q119" s="5" t="s">
        <v>1650</v>
      </c>
      <c r="R119" s="5" t="s">
        <v>1651</v>
      </c>
      <c r="S119" s="5" t="s">
        <v>1652</v>
      </c>
      <c r="T119" s="5" t="s">
        <v>1653</v>
      </c>
      <c r="U119" s="5" t="s">
        <v>1654</v>
      </c>
      <c r="V119" s="5" t="s">
        <v>1655</v>
      </c>
      <c r="W119" s="5" t="s">
        <v>1656</v>
      </c>
      <c r="X119" s="5" t="s">
        <v>1657</v>
      </c>
      <c r="Y119" s="5" t="s">
        <v>1658</v>
      </c>
      <c r="Z119" s="5">
        <v>3.0</v>
      </c>
      <c r="AA119" s="5">
        <v>2026.0</v>
      </c>
      <c r="AB119" s="5" t="s">
        <v>34</v>
      </c>
    </row>
    <row r="120" ht="15.75" customHeight="1">
      <c r="A120" s="4" t="s">
        <v>1659</v>
      </c>
      <c r="B120" s="5" t="s">
        <v>816</v>
      </c>
      <c r="C120" s="12" t="s">
        <v>1660</v>
      </c>
      <c r="D120" s="7" t="s">
        <v>1661</v>
      </c>
      <c r="E120" s="5" t="s">
        <v>1662</v>
      </c>
      <c r="F120" s="5" t="s">
        <v>32</v>
      </c>
      <c r="G120" s="5" t="s">
        <v>289</v>
      </c>
      <c r="H120" s="5" t="s">
        <v>34</v>
      </c>
      <c r="I120" s="8">
        <v>102.0</v>
      </c>
      <c r="J120" s="9" t="s">
        <v>35</v>
      </c>
      <c r="K120" s="5" t="s">
        <v>289</v>
      </c>
      <c r="L120" s="5" t="s">
        <v>34</v>
      </c>
      <c r="M120" s="5"/>
      <c r="N120" s="5"/>
      <c r="O120" s="5"/>
      <c r="P120" s="5" t="s">
        <v>1663</v>
      </c>
      <c r="Q120" s="5" t="s">
        <v>1664</v>
      </c>
      <c r="R120" s="5" t="s">
        <v>1665</v>
      </c>
      <c r="S120" s="5" t="s">
        <v>1666</v>
      </c>
      <c r="T120" s="5" t="s">
        <v>1667</v>
      </c>
      <c r="U120" s="5" t="s">
        <v>1668</v>
      </c>
      <c r="V120" s="5"/>
      <c r="W120" s="5" t="s">
        <v>1669</v>
      </c>
      <c r="X120" s="5" t="s">
        <v>1670</v>
      </c>
      <c r="Y120" s="5" t="s">
        <v>1671</v>
      </c>
      <c r="Z120" s="5">
        <v>3.0</v>
      </c>
      <c r="AA120" s="5">
        <v>2026.0</v>
      </c>
      <c r="AB120" s="5" t="s">
        <v>34</v>
      </c>
    </row>
    <row r="121" ht="15.75" customHeight="1">
      <c r="A121" s="4" t="s">
        <v>1672</v>
      </c>
      <c r="B121" s="5" t="s">
        <v>816</v>
      </c>
      <c r="C121" s="12" t="s">
        <v>1673</v>
      </c>
      <c r="D121" s="7" t="s">
        <v>1674</v>
      </c>
      <c r="E121" s="5" t="s">
        <v>1675</v>
      </c>
      <c r="F121" s="5" t="s">
        <v>32</v>
      </c>
      <c r="G121" s="5" t="s">
        <v>1676</v>
      </c>
      <c r="H121" s="5" t="s">
        <v>34</v>
      </c>
      <c r="I121" s="8">
        <v>120.0</v>
      </c>
      <c r="J121" s="9" t="s">
        <v>35</v>
      </c>
      <c r="K121" s="5" t="s">
        <v>1676</v>
      </c>
      <c r="L121" s="5" t="s">
        <v>34</v>
      </c>
      <c r="M121" s="5"/>
      <c r="N121" s="5"/>
      <c r="O121" s="5"/>
      <c r="P121" s="5" t="s">
        <v>1677</v>
      </c>
      <c r="Q121" s="5" t="s">
        <v>1678</v>
      </c>
      <c r="R121" s="5" t="s">
        <v>1679</v>
      </c>
      <c r="S121" s="5" t="s">
        <v>1680</v>
      </c>
      <c r="T121" s="5" t="s">
        <v>1681</v>
      </c>
      <c r="U121" s="5" t="s">
        <v>1682</v>
      </c>
      <c r="V121" s="5" t="s">
        <v>1683</v>
      </c>
      <c r="W121" s="5" t="s">
        <v>1684</v>
      </c>
      <c r="X121" s="5" t="s">
        <v>1685</v>
      </c>
      <c r="Y121" s="5" t="s">
        <v>1686</v>
      </c>
      <c r="Z121" s="5">
        <v>3.0</v>
      </c>
      <c r="AA121" s="5">
        <v>2026.0</v>
      </c>
      <c r="AB121" s="5" t="s">
        <v>34</v>
      </c>
    </row>
    <row r="122" ht="15.75" customHeight="1">
      <c r="A122" s="4" t="s">
        <v>1687</v>
      </c>
      <c r="B122" s="5" t="s">
        <v>816</v>
      </c>
      <c r="C122" s="12" t="s">
        <v>1688</v>
      </c>
      <c r="D122" s="7" t="s">
        <v>1689</v>
      </c>
      <c r="E122" s="5" t="s">
        <v>1690</v>
      </c>
      <c r="F122" s="5" t="s">
        <v>32</v>
      </c>
      <c r="G122" s="5" t="s">
        <v>126</v>
      </c>
      <c r="H122" s="5" t="s">
        <v>34</v>
      </c>
      <c r="I122" s="8">
        <v>125.0</v>
      </c>
      <c r="J122" s="9" t="s">
        <v>35</v>
      </c>
      <c r="K122" s="5" t="s">
        <v>1691</v>
      </c>
      <c r="L122" s="5" t="s">
        <v>34</v>
      </c>
      <c r="M122" s="10" t="s">
        <v>65</v>
      </c>
      <c r="N122" s="10" t="s">
        <v>66</v>
      </c>
      <c r="O122" s="10" t="s">
        <v>729</v>
      </c>
      <c r="P122" s="5" t="s">
        <v>1692</v>
      </c>
      <c r="Q122" s="5" t="s">
        <v>1692</v>
      </c>
      <c r="R122" s="5" t="s">
        <v>1693</v>
      </c>
      <c r="S122" s="5" t="s">
        <v>1694</v>
      </c>
      <c r="T122" s="5" t="s">
        <v>1695</v>
      </c>
      <c r="U122" s="5" t="s">
        <v>1696</v>
      </c>
      <c r="V122" s="5" t="s">
        <v>1697</v>
      </c>
      <c r="W122" s="5" t="s">
        <v>1698</v>
      </c>
      <c r="X122" s="5" t="s">
        <v>1699</v>
      </c>
      <c r="Y122" s="5" t="s">
        <v>1700</v>
      </c>
      <c r="Z122" s="5">
        <v>3.0</v>
      </c>
      <c r="AA122" s="5">
        <v>2026.0</v>
      </c>
      <c r="AB122" s="5" t="s">
        <v>34</v>
      </c>
    </row>
    <row r="123" ht="15.75" customHeight="1">
      <c r="A123" s="4" t="s">
        <v>1701</v>
      </c>
      <c r="B123" s="5" t="s">
        <v>1702</v>
      </c>
      <c r="C123" s="12" t="str">
        <f>"https://" &amp; "letterboxd" &amp; ".com/film/la-ilusion-de-un-verano-sin-fin/"</f>
        <v>https://letterboxd.com/film/la-ilusion-de-un-verano-sin-fin/</v>
      </c>
      <c r="D123" s="7" t="s">
        <v>1703</v>
      </c>
      <c r="E123" s="5" t="s">
        <v>1704</v>
      </c>
      <c r="F123" s="5" t="s">
        <v>32</v>
      </c>
      <c r="G123" s="5" t="s">
        <v>1705</v>
      </c>
      <c r="H123" s="5" t="s">
        <v>83</v>
      </c>
      <c r="I123" s="8">
        <v>94.0</v>
      </c>
      <c r="J123" s="9" t="s">
        <v>35</v>
      </c>
      <c r="K123" s="5" t="s">
        <v>1706</v>
      </c>
      <c r="L123" s="5" t="s">
        <v>83</v>
      </c>
      <c r="M123" s="5"/>
      <c r="N123" s="5"/>
      <c r="O123" s="5"/>
      <c r="P123" s="5" t="s">
        <v>1707</v>
      </c>
      <c r="Q123" s="5"/>
      <c r="R123" s="5" t="s">
        <v>1708</v>
      </c>
      <c r="S123" s="5" t="s">
        <v>1709</v>
      </c>
      <c r="T123" s="5" t="s">
        <v>1707</v>
      </c>
      <c r="U123" s="5" t="s">
        <v>1710</v>
      </c>
      <c r="V123" s="5"/>
      <c r="W123" s="5" t="s">
        <v>1711</v>
      </c>
      <c r="X123" s="5" t="s">
        <v>1712</v>
      </c>
      <c r="Y123" s="5" t="s">
        <v>1713</v>
      </c>
      <c r="Z123" s="5">
        <v>3.0</v>
      </c>
      <c r="AA123" s="5">
        <v>2026.0</v>
      </c>
      <c r="AB123" s="5" t="s">
        <v>83</v>
      </c>
    </row>
    <row r="124" ht="15.75" customHeight="1">
      <c r="A124" s="4" t="s">
        <v>1714</v>
      </c>
      <c r="B124" s="5" t="s">
        <v>1702</v>
      </c>
      <c r="C124" s="12" t="str">
        <f>"https://" &amp; "letterboxd" &amp; ".com/film/emi-2025/"</f>
        <v>https://letterboxd.com/film/emi-2025/</v>
      </c>
      <c r="D124" s="7" t="s">
        <v>1715</v>
      </c>
      <c r="E124" s="5" t="s">
        <v>1716</v>
      </c>
      <c r="F124" s="5" t="s">
        <v>32</v>
      </c>
      <c r="G124" s="5" t="s">
        <v>1705</v>
      </c>
      <c r="H124" s="5" t="s">
        <v>34</v>
      </c>
      <c r="I124" s="8">
        <v>93.0</v>
      </c>
      <c r="J124" s="9" t="s">
        <v>98</v>
      </c>
      <c r="K124" s="5" t="s">
        <v>1717</v>
      </c>
      <c r="L124" s="5" t="s">
        <v>34</v>
      </c>
      <c r="M124" s="5"/>
      <c r="N124" s="5"/>
      <c r="O124" s="5"/>
      <c r="P124" s="5" t="s">
        <v>1718</v>
      </c>
      <c r="Q124" s="5" t="s">
        <v>1719</v>
      </c>
      <c r="R124" s="5" t="s">
        <v>1720</v>
      </c>
      <c r="S124" s="5" t="s">
        <v>1721</v>
      </c>
      <c r="T124" s="5" t="s">
        <v>1722</v>
      </c>
      <c r="U124" s="5" t="s">
        <v>1723</v>
      </c>
      <c r="V124" s="5" t="s">
        <v>1724</v>
      </c>
      <c r="W124" s="5" t="s">
        <v>1725</v>
      </c>
      <c r="X124" s="5" t="s">
        <v>1726</v>
      </c>
      <c r="Y124" s="5" t="s">
        <v>1727</v>
      </c>
      <c r="Z124" s="5">
        <v>3.0</v>
      </c>
      <c r="AA124" s="5">
        <v>2025.0</v>
      </c>
      <c r="AB124" s="5" t="s">
        <v>34</v>
      </c>
    </row>
    <row r="125" ht="15.75" customHeight="1">
      <c r="A125" s="4" t="s">
        <v>1728</v>
      </c>
      <c r="B125" s="5" t="s">
        <v>1702</v>
      </c>
      <c r="C125" s="12" t="str">
        <f>"https://" &amp; "letterboxd" &amp; ".com/film/ceniza-en-la-boca/"</f>
        <v>https://letterboxd.com/film/ceniza-en-la-boca/</v>
      </c>
      <c r="D125" s="7" t="s">
        <v>1729</v>
      </c>
      <c r="E125" s="5" t="s">
        <v>1730</v>
      </c>
      <c r="F125" s="5" t="s">
        <v>32</v>
      </c>
      <c r="G125" s="5" t="s">
        <v>1731</v>
      </c>
      <c r="H125" s="5" t="s">
        <v>34</v>
      </c>
      <c r="I125" s="8">
        <v>102.0</v>
      </c>
      <c r="J125" s="9" t="s">
        <v>35</v>
      </c>
      <c r="K125" s="5" t="s">
        <v>1732</v>
      </c>
      <c r="L125" s="5" t="s">
        <v>34</v>
      </c>
      <c r="M125" s="10" t="s">
        <v>65</v>
      </c>
      <c r="N125" s="10" t="s">
        <v>66</v>
      </c>
      <c r="O125" s="10" t="s">
        <v>1326</v>
      </c>
      <c r="P125" s="5" t="s">
        <v>1733</v>
      </c>
      <c r="Q125" s="5" t="s">
        <v>1734</v>
      </c>
      <c r="R125" s="5" t="s">
        <v>1735</v>
      </c>
      <c r="S125" s="5" t="s">
        <v>1736</v>
      </c>
      <c r="T125" s="5" t="s">
        <v>1737</v>
      </c>
      <c r="U125" s="5" t="s">
        <v>1738</v>
      </c>
      <c r="V125" s="5" t="s">
        <v>1739</v>
      </c>
      <c r="W125" s="5" t="s">
        <v>1740</v>
      </c>
      <c r="X125" s="5" t="s">
        <v>1741</v>
      </c>
      <c r="Y125" s="5" t="s">
        <v>1742</v>
      </c>
      <c r="Z125" s="5">
        <v>3.0</v>
      </c>
      <c r="AA125" s="5">
        <v>2026.0</v>
      </c>
      <c r="AB125" s="5" t="s">
        <v>34</v>
      </c>
    </row>
    <row r="126" ht="15.75" customHeight="1">
      <c r="A126" s="4" t="s">
        <v>1743</v>
      </c>
      <c r="B126" s="5" t="s">
        <v>1702</v>
      </c>
      <c r="C126" s="12" t="str">
        <f>"https://" &amp; "letterboxd" &amp; ".com/film/despues-de-elena/"</f>
        <v>https://letterboxd.com/film/despues-de-elena/</v>
      </c>
      <c r="D126" s="7" t="s">
        <v>1744</v>
      </c>
      <c r="E126" s="5" t="s">
        <v>1745</v>
      </c>
      <c r="F126" s="5" t="s">
        <v>32</v>
      </c>
      <c r="G126" s="5" t="s">
        <v>1746</v>
      </c>
      <c r="H126" s="5" t="s">
        <v>34</v>
      </c>
      <c r="I126" s="8">
        <v>83.0</v>
      </c>
      <c r="J126" s="9" t="s">
        <v>35</v>
      </c>
      <c r="K126" s="5" t="s">
        <v>1747</v>
      </c>
      <c r="L126" s="5" t="s">
        <v>34</v>
      </c>
      <c r="M126" s="5"/>
      <c r="N126" s="5"/>
      <c r="O126" s="5"/>
      <c r="P126" s="5" t="s">
        <v>1748</v>
      </c>
      <c r="Q126" s="5" t="s">
        <v>1749</v>
      </c>
      <c r="R126" s="5" t="s">
        <v>1750</v>
      </c>
      <c r="S126" s="5" t="s">
        <v>1751</v>
      </c>
      <c r="T126" s="5" t="s">
        <v>1752</v>
      </c>
      <c r="U126" s="5" t="s">
        <v>1753</v>
      </c>
      <c r="V126" s="5" t="s">
        <v>1754</v>
      </c>
      <c r="W126" s="5" t="s">
        <v>1755</v>
      </c>
      <c r="X126" s="5" t="s">
        <v>1756</v>
      </c>
      <c r="Y126" s="5" t="s">
        <v>1757</v>
      </c>
      <c r="Z126" s="5">
        <v>3.0</v>
      </c>
      <c r="AA126" s="5">
        <v>2026.0</v>
      </c>
      <c r="AB126" s="5" t="s">
        <v>34</v>
      </c>
    </row>
    <row r="127" ht="15.75" customHeight="1">
      <c r="A127" s="4" t="s">
        <v>1758</v>
      </c>
      <c r="B127" s="5" t="s">
        <v>1702</v>
      </c>
      <c r="C127" s="12" t="s">
        <v>1759</v>
      </c>
      <c r="D127" s="7" t="s">
        <v>1760</v>
      </c>
      <c r="E127" s="5"/>
      <c r="F127" s="5" t="s">
        <v>81</v>
      </c>
      <c r="G127" s="5" t="s">
        <v>1705</v>
      </c>
      <c r="H127" s="5" t="s">
        <v>34</v>
      </c>
      <c r="I127" s="8">
        <v>106.0</v>
      </c>
      <c r="J127" s="9" t="s">
        <v>98</v>
      </c>
      <c r="K127" s="5" t="s">
        <v>1717</v>
      </c>
      <c r="L127" s="5" t="s">
        <v>34</v>
      </c>
      <c r="M127" s="5"/>
      <c r="N127" s="5"/>
      <c r="O127" s="5"/>
      <c r="P127" s="5" t="s">
        <v>1761</v>
      </c>
      <c r="Q127" s="5" t="s">
        <v>1762</v>
      </c>
      <c r="R127" s="5" t="s">
        <v>1763</v>
      </c>
      <c r="S127" s="5" t="s">
        <v>1764</v>
      </c>
      <c r="T127" s="5" t="s">
        <v>1765</v>
      </c>
      <c r="U127" s="5" t="s">
        <v>1766</v>
      </c>
      <c r="V127" s="5" t="s">
        <v>1767</v>
      </c>
      <c r="W127" s="5" t="s">
        <v>1768</v>
      </c>
      <c r="X127" s="5" t="s">
        <v>1769</v>
      </c>
      <c r="Y127" s="5" t="s">
        <v>1770</v>
      </c>
      <c r="Z127" s="5">
        <v>3.0</v>
      </c>
      <c r="AA127" s="5">
        <v>2025.0</v>
      </c>
      <c r="AB127" s="5" t="s">
        <v>34</v>
      </c>
    </row>
    <row r="128" ht="15.75" customHeight="1">
      <c r="A128" s="4" t="s">
        <v>1771</v>
      </c>
      <c r="B128" s="5" t="s">
        <v>1702</v>
      </c>
      <c r="C128" s="12" t="str">
        <f>"https://" &amp; "letterboxd" &amp; ".com/film/iluminada-2026/"</f>
        <v>https://letterboxd.com/film/iluminada-2026/</v>
      </c>
      <c r="D128" s="7" t="s">
        <v>1772</v>
      </c>
      <c r="E128" s="5"/>
      <c r="F128" s="5" t="s">
        <v>81</v>
      </c>
      <c r="G128" s="5" t="s">
        <v>1773</v>
      </c>
      <c r="H128" s="5" t="s">
        <v>34</v>
      </c>
      <c r="I128" s="8">
        <v>121.0</v>
      </c>
      <c r="J128" s="9" t="s">
        <v>35</v>
      </c>
      <c r="K128" s="5" t="s">
        <v>1773</v>
      </c>
      <c r="L128" s="5" t="s">
        <v>34</v>
      </c>
      <c r="M128" s="5"/>
      <c r="N128" s="5"/>
      <c r="O128" s="5"/>
      <c r="P128" s="5" t="s">
        <v>1774</v>
      </c>
      <c r="Q128" s="5" t="s">
        <v>1775</v>
      </c>
      <c r="R128" s="5" t="s">
        <v>1776</v>
      </c>
      <c r="S128" s="5" t="s">
        <v>1777</v>
      </c>
      <c r="T128" s="5" t="s">
        <v>1778</v>
      </c>
      <c r="U128" s="5"/>
      <c r="V128" s="5"/>
      <c r="W128" s="5" t="s">
        <v>1779</v>
      </c>
      <c r="X128" s="5" t="s">
        <v>1780</v>
      </c>
      <c r="Y128" s="5" t="s">
        <v>1781</v>
      </c>
      <c r="Z128" s="5">
        <v>3.0</v>
      </c>
      <c r="AA128" s="5">
        <v>2026.0</v>
      </c>
      <c r="AB128" s="5" t="s">
        <v>34</v>
      </c>
    </row>
    <row r="129" ht="15.75" customHeight="1">
      <c r="A129" s="4" t="s">
        <v>1782</v>
      </c>
      <c r="B129" s="5" t="s">
        <v>1702</v>
      </c>
      <c r="C129" s="12" t="s">
        <v>1783</v>
      </c>
      <c r="D129" s="7" t="s">
        <v>1784</v>
      </c>
      <c r="E129" s="5"/>
      <c r="F129" s="5" t="s">
        <v>81</v>
      </c>
      <c r="G129" s="5" t="s">
        <v>1785</v>
      </c>
      <c r="H129" s="5" t="s">
        <v>83</v>
      </c>
      <c r="I129" s="8">
        <v>75.0</v>
      </c>
      <c r="J129" s="9" t="s">
        <v>35</v>
      </c>
      <c r="K129" s="5" t="s">
        <v>1786</v>
      </c>
      <c r="L129" s="5" t="s">
        <v>83</v>
      </c>
      <c r="M129" s="10" t="s">
        <v>65</v>
      </c>
      <c r="N129" s="10" t="s">
        <v>316</v>
      </c>
      <c r="O129" s="10" t="s">
        <v>1787</v>
      </c>
      <c r="P129" s="5" t="s">
        <v>1788</v>
      </c>
      <c r="Q129" s="5"/>
      <c r="R129" s="5" t="s">
        <v>1789</v>
      </c>
      <c r="S129" s="5" t="s">
        <v>1790</v>
      </c>
      <c r="T129" s="5" t="s">
        <v>1791</v>
      </c>
      <c r="U129" s="5" t="s">
        <v>1792</v>
      </c>
      <c r="V129" s="5" t="s">
        <v>1793</v>
      </c>
      <c r="W129" s="5" t="s">
        <v>1794</v>
      </c>
      <c r="X129" s="5" t="s">
        <v>1795</v>
      </c>
      <c r="Y129" s="5" t="s">
        <v>1796</v>
      </c>
      <c r="Z129" s="5">
        <v>3.0</v>
      </c>
      <c r="AA129" s="5">
        <v>2026.0</v>
      </c>
      <c r="AB129" s="5" t="s">
        <v>83</v>
      </c>
    </row>
    <row r="130" ht="15.75" customHeight="1">
      <c r="A130" s="4" t="s">
        <v>1797</v>
      </c>
      <c r="B130" s="5" t="s">
        <v>1702</v>
      </c>
      <c r="C130" s="12" t="s">
        <v>1798</v>
      </c>
      <c r="D130" s="7" t="s">
        <v>1799</v>
      </c>
      <c r="E130" s="5" t="s">
        <v>1800</v>
      </c>
      <c r="F130" s="5" t="s">
        <v>32</v>
      </c>
      <c r="G130" s="5" t="s">
        <v>1153</v>
      </c>
      <c r="H130" s="5" t="s">
        <v>34</v>
      </c>
      <c r="I130" s="8">
        <v>113.0</v>
      </c>
      <c r="J130" s="9" t="s">
        <v>35</v>
      </c>
      <c r="K130" s="5" t="s">
        <v>1801</v>
      </c>
      <c r="L130" s="5" t="s">
        <v>34</v>
      </c>
      <c r="M130" s="10" t="s">
        <v>65</v>
      </c>
      <c r="N130" s="10" t="s">
        <v>66</v>
      </c>
      <c r="O130" s="10" t="s">
        <v>836</v>
      </c>
      <c r="P130" s="5" t="s">
        <v>1802</v>
      </c>
      <c r="Q130" s="5" t="s">
        <v>1803</v>
      </c>
      <c r="R130" s="5" t="s">
        <v>1804</v>
      </c>
      <c r="S130" s="5" t="s">
        <v>1805</v>
      </c>
      <c r="T130" s="5" t="s">
        <v>1806</v>
      </c>
      <c r="U130" s="5" t="s">
        <v>1807</v>
      </c>
      <c r="V130" s="5" t="s">
        <v>1808</v>
      </c>
      <c r="W130" s="5" t="s">
        <v>1809</v>
      </c>
      <c r="X130" s="5" t="s">
        <v>1810</v>
      </c>
      <c r="Y130" s="5" t="s">
        <v>1811</v>
      </c>
      <c r="Z130" s="5">
        <v>3.0</v>
      </c>
      <c r="AA130" s="5">
        <v>2026.0</v>
      </c>
      <c r="AB130" s="5" t="s">
        <v>34</v>
      </c>
    </row>
    <row r="131" ht="15.75" customHeight="1">
      <c r="A131" s="4" t="s">
        <v>1812</v>
      </c>
      <c r="B131" s="5" t="s">
        <v>1702</v>
      </c>
      <c r="C131" s="12" t="s">
        <v>1813</v>
      </c>
      <c r="D131" s="7" t="s">
        <v>1814</v>
      </c>
      <c r="E131" s="5"/>
      <c r="F131" s="5" t="s">
        <v>81</v>
      </c>
      <c r="G131" s="5" t="s">
        <v>1815</v>
      </c>
      <c r="H131" s="5" t="s">
        <v>34</v>
      </c>
      <c r="I131" s="8">
        <v>75.0</v>
      </c>
      <c r="J131" s="9" t="s">
        <v>35</v>
      </c>
      <c r="K131" s="5" t="s">
        <v>1815</v>
      </c>
      <c r="L131" s="5" t="s">
        <v>34</v>
      </c>
      <c r="M131" s="5"/>
      <c r="N131" s="5"/>
      <c r="O131" s="5"/>
      <c r="P131" s="5" t="s">
        <v>1816</v>
      </c>
      <c r="Q131" s="5" t="s">
        <v>1816</v>
      </c>
      <c r="R131" s="5" t="s">
        <v>1817</v>
      </c>
      <c r="S131" s="5" t="s">
        <v>1818</v>
      </c>
      <c r="T131" s="5" t="s">
        <v>1819</v>
      </c>
      <c r="U131" s="5" t="s">
        <v>1820</v>
      </c>
      <c r="V131" s="5" t="s">
        <v>1821</v>
      </c>
      <c r="W131" s="5" t="s">
        <v>1822</v>
      </c>
      <c r="X131" s="5" t="s">
        <v>1823</v>
      </c>
      <c r="Y131" s="5" t="s">
        <v>1824</v>
      </c>
      <c r="Z131" s="5">
        <v>3.0</v>
      </c>
      <c r="AA131" s="5">
        <v>2026.0</v>
      </c>
      <c r="AB131" s="5" t="s">
        <v>34</v>
      </c>
    </row>
    <row r="132" ht="15.75" customHeight="1">
      <c r="A132" s="4" t="s">
        <v>1825</v>
      </c>
      <c r="B132" s="5" t="s">
        <v>1702</v>
      </c>
      <c r="C132" s="12" t="str">
        <f>"https://" &amp; "letterboxd" &amp; ".com/film/me-niego-rotundamente/"</f>
        <v>https://letterboxd.com/film/me-niego-rotundamente/</v>
      </c>
      <c r="D132" s="7" t="s">
        <v>1826</v>
      </c>
      <c r="E132" s="5" t="s">
        <v>1827</v>
      </c>
      <c r="F132" s="5" t="s">
        <v>32</v>
      </c>
      <c r="G132" s="5" t="s">
        <v>1828</v>
      </c>
      <c r="H132" s="5" t="s">
        <v>83</v>
      </c>
      <c r="I132" s="8">
        <v>72.0</v>
      </c>
      <c r="J132" s="9" t="s">
        <v>35</v>
      </c>
      <c r="K132" s="5" t="s">
        <v>1829</v>
      </c>
      <c r="L132" s="5" t="s">
        <v>83</v>
      </c>
      <c r="M132" s="5"/>
      <c r="N132" s="5"/>
      <c r="O132" s="5"/>
      <c r="P132" s="5" t="s">
        <v>1830</v>
      </c>
      <c r="Q132" s="5" t="s">
        <v>1830</v>
      </c>
      <c r="R132" s="5" t="s">
        <v>1831</v>
      </c>
      <c r="S132" s="5" t="s">
        <v>1832</v>
      </c>
      <c r="T132" s="5" t="s">
        <v>1833</v>
      </c>
      <c r="U132" s="5" t="s">
        <v>1834</v>
      </c>
      <c r="V132" s="5" t="s">
        <v>1835</v>
      </c>
      <c r="W132" s="5"/>
      <c r="X132" s="5" t="s">
        <v>1836</v>
      </c>
      <c r="Y132" s="5" t="s">
        <v>1837</v>
      </c>
      <c r="Z132" s="5">
        <v>3.0</v>
      </c>
      <c r="AA132" s="5">
        <v>2026.0</v>
      </c>
      <c r="AB132" s="5" t="s">
        <v>83</v>
      </c>
    </row>
    <row r="133" ht="15.75" customHeight="1">
      <c r="A133" s="4" t="s">
        <v>1838</v>
      </c>
      <c r="B133" s="5" t="s">
        <v>1702</v>
      </c>
      <c r="C133" s="12" t="s">
        <v>1839</v>
      </c>
      <c r="D133" s="7" t="s">
        <v>1840</v>
      </c>
      <c r="E133" s="5" t="s">
        <v>1841</v>
      </c>
      <c r="F133" s="5" t="s">
        <v>32</v>
      </c>
      <c r="G133" s="5" t="s">
        <v>1842</v>
      </c>
      <c r="H133" s="5" t="s">
        <v>34</v>
      </c>
      <c r="I133" s="8">
        <v>100.0</v>
      </c>
      <c r="J133" s="9" t="s">
        <v>35</v>
      </c>
      <c r="K133" s="5" t="s">
        <v>1843</v>
      </c>
      <c r="L133" s="5" t="s">
        <v>34</v>
      </c>
      <c r="M133" s="10" t="s">
        <v>65</v>
      </c>
      <c r="N133" s="10" t="s">
        <v>66</v>
      </c>
      <c r="O133" s="10" t="s">
        <v>729</v>
      </c>
      <c r="P133" s="5" t="s">
        <v>1844</v>
      </c>
      <c r="Q133" s="5" t="s">
        <v>1844</v>
      </c>
      <c r="R133" s="5" t="s">
        <v>1845</v>
      </c>
      <c r="S133" s="5" t="s">
        <v>1846</v>
      </c>
      <c r="T133" s="5" t="s">
        <v>1847</v>
      </c>
      <c r="U133" s="5" t="s">
        <v>1848</v>
      </c>
      <c r="V133" s="5" t="s">
        <v>1849</v>
      </c>
      <c r="W133" s="5" t="s">
        <v>1850</v>
      </c>
      <c r="X133" s="5" t="s">
        <v>1851</v>
      </c>
      <c r="Y133" s="5" t="s">
        <v>1852</v>
      </c>
      <c r="Z133" s="5">
        <v>3.0</v>
      </c>
      <c r="AA133" s="5">
        <v>2026.0</v>
      </c>
      <c r="AB133" s="5" t="s">
        <v>34</v>
      </c>
    </row>
    <row r="134" ht="15.75" customHeight="1">
      <c r="A134" s="4" t="s">
        <v>1853</v>
      </c>
      <c r="B134" s="5" t="s">
        <v>1702</v>
      </c>
      <c r="C134" s="12" t="str">
        <f>"https://" &amp; "letterboxd" &amp; ".com/film/hangar-rojo/"</f>
        <v>https://letterboxd.com/film/hangar-rojo/</v>
      </c>
      <c r="D134" s="7" t="s">
        <v>1854</v>
      </c>
      <c r="E134" s="5" t="s">
        <v>1855</v>
      </c>
      <c r="F134" s="5" t="s">
        <v>32</v>
      </c>
      <c r="G134" s="5" t="s">
        <v>1856</v>
      </c>
      <c r="H134" s="5" t="s">
        <v>34</v>
      </c>
      <c r="I134" s="8">
        <v>81.0</v>
      </c>
      <c r="J134" s="9" t="s">
        <v>35</v>
      </c>
      <c r="K134" s="5" t="s">
        <v>1857</v>
      </c>
      <c r="L134" s="5" t="s">
        <v>34</v>
      </c>
      <c r="M134" s="5"/>
      <c r="N134" s="5"/>
      <c r="O134" s="5"/>
      <c r="P134" s="5" t="s">
        <v>1761</v>
      </c>
      <c r="Q134" s="5" t="s">
        <v>1762</v>
      </c>
      <c r="R134" s="5" t="s">
        <v>1763</v>
      </c>
      <c r="S134" s="5" t="s">
        <v>1764</v>
      </c>
      <c r="T134" s="5" t="s">
        <v>1765</v>
      </c>
      <c r="U134" s="5" t="s">
        <v>1766</v>
      </c>
      <c r="V134" s="5" t="s">
        <v>1767</v>
      </c>
      <c r="W134" s="5" t="s">
        <v>1858</v>
      </c>
      <c r="X134" s="5" t="s">
        <v>1859</v>
      </c>
      <c r="Y134" s="5" t="s">
        <v>1860</v>
      </c>
      <c r="Z134" s="5">
        <v>3.0</v>
      </c>
      <c r="AA134" s="5">
        <v>2026.0</v>
      </c>
      <c r="AB134" s="5" t="s">
        <v>34</v>
      </c>
    </row>
    <row r="135" ht="15.75" customHeight="1">
      <c r="A135" s="4" t="s">
        <v>1861</v>
      </c>
      <c r="B135" s="5" t="s">
        <v>1702</v>
      </c>
      <c r="C135" s="12" t="str">
        <f>"https://" &amp; "letterboxd" &amp; ".com/film/el-jardin-que-sonamos/"</f>
        <v>https://letterboxd.com/film/el-jardin-que-sonamos/</v>
      </c>
      <c r="D135" s="7" t="s">
        <v>1862</v>
      </c>
      <c r="E135" s="5" t="s">
        <v>1863</v>
      </c>
      <c r="F135" s="5" t="s">
        <v>32</v>
      </c>
      <c r="G135" s="5" t="s">
        <v>1864</v>
      </c>
      <c r="H135" s="5" t="s">
        <v>34</v>
      </c>
      <c r="I135" s="8">
        <v>102.0</v>
      </c>
      <c r="J135" s="9" t="s">
        <v>35</v>
      </c>
      <c r="K135" s="5" t="s">
        <v>1864</v>
      </c>
      <c r="L135" s="5" t="s">
        <v>34</v>
      </c>
      <c r="M135" s="5"/>
      <c r="N135" s="5"/>
      <c r="O135" s="5"/>
      <c r="P135" s="5" t="s">
        <v>1865</v>
      </c>
      <c r="Q135" s="5" t="s">
        <v>1866</v>
      </c>
      <c r="R135" s="5" t="s">
        <v>1867</v>
      </c>
      <c r="S135" s="5" t="s">
        <v>1868</v>
      </c>
      <c r="T135" s="5" t="s">
        <v>1869</v>
      </c>
      <c r="U135" s="5" t="s">
        <v>1870</v>
      </c>
      <c r="V135" s="5" t="s">
        <v>1871</v>
      </c>
      <c r="W135" s="5" t="s">
        <v>1872</v>
      </c>
      <c r="X135" s="5" t="s">
        <v>1873</v>
      </c>
      <c r="Y135" s="5" t="s">
        <v>1874</v>
      </c>
      <c r="Z135" s="5">
        <v>3.0</v>
      </c>
      <c r="AA135" s="5">
        <v>2026.0</v>
      </c>
      <c r="AB135" s="5" t="s">
        <v>34</v>
      </c>
    </row>
    <row r="136" ht="15.75" customHeight="1">
      <c r="A136" s="4" t="s">
        <v>1875</v>
      </c>
      <c r="B136" s="5" t="s">
        <v>1702</v>
      </c>
      <c r="C136" s="12" t="s">
        <v>1876</v>
      </c>
      <c r="D136" s="7" t="s">
        <v>1877</v>
      </c>
      <c r="E136" s="5" t="s">
        <v>1878</v>
      </c>
      <c r="F136" s="5" t="s">
        <v>32</v>
      </c>
      <c r="G136" s="5" t="s">
        <v>1879</v>
      </c>
      <c r="H136" s="5" t="s">
        <v>83</v>
      </c>
      <c r="I136" s="8">
        <v>92.0</v>
      </c>
      <c r="J136" s="9" t="s">
        <v>35</v>
      </c>
      <c r="K136" s="5" t="s">
        <v>1879</v>
      </c>
      <c r="L136" s="5" t="s">
        <v>83</v>
      </c>
      <c r="M136" s="5"/>
      <c r="N136" s="5"/>
      <c r="O136" s="5"/>
      <c r="P136" s="5" t="s">
        <v>1880</v>
      </c>
      <c r="Q136" s="5" t="s">
        <v>1881</v>
      </c>
      <c r="R136" s="5" t="s">
        <v>1882</v>
      </c>
      <c r="S136" s="5" t="s">
        <v>1883</v>
      </c>
      <c r="T136" s="5" t="s">
        <v>1884</v>
      </c>
      <c r="U136" s="5" t="s">
        <v>1885</v>
      </c>
      <c r="V136" s="5" t="s">
        <v>1886</v>
      </c>
      <c r="W136" s="5" t="s">
        <v>1887</v>
      </c>
      <c r="X136" s="5" t="s">
        <v>1888</v>
      </c>
      <c r="Y136" s="5" t="s">
        <v>1889</v>
      </c>
      <c r="Z136" s="5">
        <v>4.0</v>
      </c>
      <c r="AA136" s="5">
        <v>2026.0</v>
      </c>
      <c r="AB136" s="5" t="s">
        <v>83</v>
      </c>
    </row>
    <row r="137" ht="15.75" customHeight="1">
      <c r="A137" s="4" t="s">
        <v>1890</v>
      </c>
      <c r="B137" s="5" t="s">
        <v>1702</v>
      </c>
      <c r="C137" s="12" t="str">
        <f>"https://" &amp; "letterboxd" &amp; ".com/film/lo-demas-es-ruido/"</f>
        <v>https://letterboxd.com/film/lo-demas-es-ruido/</v>
      </c>
      <c r="D137" s="7" t="s">
        <v>1891</v>
      </c>
      <c r="E137" s="5" t="s">
        <v>1892</v>
      </c>
      <c r="F137" s="5" t="s">
        <v>32</v>
      </c>
      <c r="G137" s="5" t="s">
        <v>126</v>
      </c>
      <c r="H137" s="5" t="s">
        <v>34</v>
      </c>
      <c r="I137" s="8">
        <v>70.0</v>
      </c>
      <c r="J137" s="9" t="s">
        <v>35</v>
      </c>
      <c r="K137" s="5" t="s">
        <v>1893</v>
      </c>
      <c r="L137" s="5" t="s">
        <v>34</v>
      </c>
      <c r="M137" s="5"/>
      <c r="N137" s="5"/>
      <c r="O137" s="5"/>
      <c r="P137" s="5" t="s">
        <v>1894</v>
      </c>
      <c r="Q137" s="5" t="s">
        <v>1895</v>
      </c>
      <c r="R137" s="5" t="s">
        <v>1896</v>
      </c>
      <c r="S137" s="5" t="s">
        <v>1897</v>
      </c>
      <c r="T137" s="5" t="s">
        <v>1898</v>
      </c>
      <c r="U137" s="5" t="s">
        <v>1898</v>
      </c>
      <c r="V137" s="5" t="s">
        <v>1899</v>
      </c>
      <c r="W137" s="5" t="s">
        <v>1900</v>
      </c>
      <c r="X137" s="5" t="s">
        <v>1901</v>
      </c>
      <c r="Y137" s="5" t="s">
        <v>1902</v>
      </c>
      <c r="Z137" s="5">
        <v>4.0</v>
      </c>
      <c r="AA137" s="5">
        <v>2026.0</v>
      </c>
      <c r="AB137" s="5" t="s">
        <v>34</v>
      </c>
    </row>
    <row r="138" ht="15.75" customHeight="1">
      <c r="A138" s="4" t="s">
        <v>1903</v>
      </c>
      <c r="B138" s="5" t="s">
        <v>1702</v>
      </c>
      <c r="C138" s="12" t="str">
        <f>"https://" &amp; "letterboxd" &amp; ".com/film/el-tren-fluvial/"</f>
        <v>https://letterboxd.com/film/el-tren-fluvial/</v>
      </c>
      <c r="D138" s="7" t="s">
        <v>1904</v>
      </c>
      <c r="E138" s="5" t="s">
        <v>1905</v>
      </c>
      <c r="F138" s="5" t="s">
        <v>32</v>
      </c>
      <c r="G138" s="5" t="s">
        <v>1879</v>
      </c>
      <c r="H138" s="5" t="s">
        <v>34</v>
      </c>
      <c r="I138" s="8">
        <v>75.0</v>
      </c>
      <c r="J138" s="9" t="s">
        <v>35</v>
      </c>
      <c r="K138" s="5" t="s">
        <v>1879</v>
      </c>
      <c r="L138" s="5" t="s">
        <v>34</v>
      </c>
      <c r="M138" s="5"/>
      <c r="N138" s="5"/>
      <c r="O138" s="5"/>
      <c r="P138" s="5" t="s">
        <v>1906</v>
      </c>
      <c r="Q138" s="5" t="s">
        <v>1906</v>
      </c>
      <c r="R138" s="5" t="s">
        <v>1907</v>
      </c>
      <c r="S138" s="5" t="s">
        <v>1908</v>
      </c>
      <c r="T138" s="5" t="s">
        <v>1909</v>
      </c>
      <c r="U138" s="5" t="s">
        <v>1910</v>
      </c>
      <c r="V138" s="5" t="s">
        <v>1911</v>
      </c>
      <c r="W138" s="5" t="s">
        <v>1912</v>
      </c>
      <c r="X138" s="5" t="s">
        <v>1913</v>
      </c>
      <c r="Y138" s="5" t="s">
        <v>1914</v>
      </c>
      <c r="Z138" s="5">
        <v>3.0</v>
      </c>
      <c r="AA138" s="5">
        <v>2026.0</v>
      </c>
      <c r="AB138" s="5" t="s">
        <v>34</v>
      </c>
    </row>
    <row r="139" ht="15.75" customHeight="1">
      <c r="A139" s="4" t="s">
        <v>1915</v>
      </c>
      <c r="B139" s="5" t="s">
        <v>1702</v>
      </c>
      <c r="C139" s="12" t="str">
        <f>"https://" &amp; "letterboxd" &amp; ".com/film/siempre-soy-tu-animal-materno/"</f>
        <v>https://letterboxd.com/film/siempre-soy-tu-animal-materno/</v>
      </c>
      <c r="D139" s="7" t="s">
        <v>1916</v>
      </c>
      <c r="E139" s="5" t="s">
        <v>1917</v>
      </c>
      <c r="F139" s="5" t="s">
        <v>32</v>
      </c>
      <c r="G139" s="5" t="s">
        <v>203</v>
      </c>
      <c r="H139" s="5" t="s">
        <v>34</v>
      </c>
      <c r="I139" s="8">
        <v>108.0</v>
      </c>
      <c r="J139" s="9" t="s">
        <v>35</v>
      </c>
      <c r="K139" s="5" t="s">
        <v>1918</v>
      </c>
      <c r="L139" s="5" t="s">
        <v>34</v>
      </c>
      <c r="M139" s="10" t="s">
        <v>65</v>
      </c>
      <c r="N139" s="10" t="s">
        <v>66</v>
      </c>
      <c r="O139" s="10" t="s">
        <v>729</v>
      </c>
      <c r="P139" s="5" t="s">
        <v>1919</v>
      </c>
      <c r="Q139" s="5" t="s">
        <v>1919</v>
      </c>
      <c r="R139" s="5" t="s">
        <v>1920</v>
      </c>
      <c r="S139" s="5" t="s">
        <v>1921</v>
      </c>
      <c r="T139" s="5" t="s">
        <v>1922</v>
      </c>
      <c r="U139" s="5" t="s">
        <v>1923</v>
      </c>
      <c r="V139" s="5"/>
      <c r="W139" s="5" t="s">
        <v>1924</v>
      </c>
      <c r="X139" s="5" t="s">
        <v>1925</v>
      </c>
      <c r="Y139" s="5" t="s">
        <v>1926</v>
      </c>
      <c r="Z139" s="5">
        <v>3.0</v>
      </c>
      <c r="AA139" s="5">
        <v>2026.0</v>
      </c>
      <c r="AB139" s="5" t="s">
        <v>34</v>
      </c>
    </row>
    <row r="140" ht="15.75" customHeight="1">
      <c r="A140" s="4" t="s">
        <v>1927</v>
      </c>
      <c r="B140" s="5" t="s">
        <v>1702</v>
      </c>
      <c r="C140" s="12" t="str">
        <f>"https://" &amp; "letterboxd" &amp; ".com/film/pepita-la-pistolera/"</f>
        <v>https://letterboxd.com/film/pepita-la-pistolera/</v>
      </c>
      <c r="D140" s="7" t="s">
        <v>1928</v>
      </c>
      <c r="E140" s="5" t="s">
        <v>1929</v>
      </c>
      <c r="F140" s="5" t="s">
        <v>32</v>
      </c>
      <c r="G140" s="5" t="s">
        <v>1879</v>
      </c>
      <c r="H140" s="5" t="s">
        <v>34</v>
      </c>
      <c r="I140" s="8">
        <v>106.0</v>
      </c>
      <c r="J140" s="9" t="s">
        <v>35</v>
      </c>
      <c r="K140" s="5" t="s">
        <v>1879</v>
      </c>
      <c r="L140" s="5" t="s">
        <v>34</v>
      </c>
      <c r="M140" s="5"/>
      <c r="N140" s="5"/>
      <c r="O140" s="5"/>
      <c r="P140" s="5" t="s">
        <v>1930</v>
      </c>
      <c r="Q140" s="5" t="s">
        <v>1931</v>
      </c>
      <c r="R140" s="5" t="s">
        <v>1932</v>
      </c>
      <c r="S140" s="5" t="s">
        <v>1933</v>
      </c>
      <c r="T140" s="5" t="s">
        <v>1934</v>
      </c>
      <c r="U140" s="5" t="s">
        <v>1935</v>
      </c>
      <c r="V140" s="5" t="s">
        <v>1936</v>
      </c>
      <c r="W140" s="5" t="s">
        <v>1937</v>
      </c>
      <c r="X140" s="5" t="s">
        <v>1938</v>
      </c>
      <c r="Y140" s="5" t="s">
        <v>1939</v>
      </c>
      <c r="Z140" s="5">
        <v>3.0</v>
      </c>
      <c r="AA140" s="5">
        <v>2026.0</v>
      </c>
      <c r="AB140" s="5" t="s">
        <v>34</v>
      </c>
    </row>
    <row r="141" ht="15.75" customHeight="1">
      <c r="A141" s="4" t="s">
        <v>1940</v>
      </c>
      <c r="B141" s="5" t="s">
        <v>1702</v>
      </c>
      <c r="C141" s="12" t="s">
        <v>1941</v>
      </c>
      <c r="D141" s="7" t="s">
        <v>1942</v>
      </c>
      <c r="E141" s="5" t="s">
        <v>1943</v>
      </c>
      <c r="F141" s="5" t="s">
        <v>32</v>
      </c>
      <c r="G141" s="5" t="s">
        <v>1944</v>
      </c>
      <c r="H141" s="5" t="s">
        <v>34</v>
      </c>
      <c r="I141" s="8">
        <v>101.0</v>
      </c>
      <c r="J141" s="9" t="s">
        <v>35</v>
      </c>
      <c r="K141" s="5" t="s">
        <v>1945</v>
      </c>
      <c r="L141" s="5" t="s">
        <v>34</v>
      </c>
      <c r="M141" s="5"/>
      <c r="N141" s="5"/>
      <c r="O141" s="5"/>
      <c r="P141" s="5" t="s">
        <v>1946</v>
      </c>
      <c r="Q141" s="5" t="s">
        <v>1946</v>
      </c>
      <c r="R141" s="5" t="s">
        <v>1947</v>
      </c>
      <c r="S141" s="5" t="s">
        <v>1948</v>
      </c>
      <c r="T141" s="5" t="s">
        <v>1949</v>
      </c>
      <c r="U141" s="5" t="s">
        <v>1950</v>
      </c>
      <c r="V141" s="5" t="s">
        <v>1951</v>
      </c>
      <c r="W141" s="5" t="s">
        <v>1952</v>
      </c>
      <c r="X141" s="5" t="s">
        <v>1953</v>
      </c>
      <c r="Y141" s="5" t="s">
        <v>1954</v>
      </c>
      <c r="Z141" s="5">
        <v>3.0</v>
      </c>
      <c r="AA141" s="5">
        <v>2026.0</v>
      </c>
      <c r="AB141" s="5" t="s">
        <v>34</v>
      </c>
    </row>
    <row r="142" ht="15.75" customHeight="1">
      <c r="A142" s="4" t="s">
        <v>1955</v>
      </c>
      <c r="B142" s="5" t="s">
        <v>1702</v>
      </c>
      <c r="C142" s="12" t="str">
        <f>"https://" &amp; "letterboxd" &amp; ".com/film/seis-meses-en-el-edificio/"</f>
        <v>https://letterboxd.com/film/seis-meses-en-el-edificio/</v>
      </c>
      <c r="D142" s="7" t="s">
        <v>1956</v>
      </c>
      <c r="E142" s="5" t="s">
        <v>1957</v>
      </c>
      <c r="F142" s="5" t="s">
        <v>32</v>
      </c>
      <c r="G142" s="5" t="s">
        <v>1958</v>
      </c>
      <c r="H142" s="5" t="s">
        <v>34</v>
      </c>
      <c r="I142" s="8">
        <v>106.0</v>
      </c>
      <c r="J142" s="9" t="s">
        <v>35</v>
      </c>
      <c r="K142" s="5" t="s">
        <v>1959</v>
      </c>
      <c r="L142" s="5" t="s">
        <v>34</v>
      </c>
      <c r="M142" s="10" t="s">
        <v>65</v>
      </c>
      <c r="N142" s="10" t="s">
        <v>66</v>
      </c>
      <c r="O142" s="10" t="s">
        <v>889</v>
      </c>
      <c r="P142" s="5" t="s">
        <v>1960</v>
      </c>
      <c r="Q142" s="5" t="s">
        <v>1960</v>
      </c>
      <c r="R142" s="5" t="s">
        <v>1961</v>
      </c>
      <c r="S142" s="5" t="s">
        <v>1962</v>
      </c>
      <c r="T142" s="5" t="s">
        <v>1963</v>
      </c>
      <c r="U142" s="5" t="s">
        <v>1964</v>
      </c>
      <c r="V142" s="5" t="s">
        <v>1965</v>
      </c>
      <c r="W142" s="5" t="s">
        <v>1966</v>
      </c>
      <c r="X142" s="5" t="s">
        <v>1967</v>
      </c>
      <c r="Y142" s="5" t="s">
        <v>1968</v>
      </c>
      <c r="Z142" s="5">
        <v>3.0</v>
      </c>
      <c r="AA142" s="5">
        <v>2026.0</v>
      </c>
      <c r="AB142" s="5" t="s">
        <v>34</v>
      </c>
    </row>
    <row r="143" ht="15.75" customHeight="1">
      <c r="A143" s="4" t="s">
        <v>1969</v>
      </c>
      <c r="B143" s="5" t="s">
        <v>1702</v>
      </c>
      <c r="C143" s="12" t="s">
        <v>1970</v>
      </c>
      <c r="D143" s="7" t="s">
        <v>1971</v>
      </c>
      <c r="E143" s="5" t="s">
        <v>1972</v>
      </c>
      <c r="F143" s="5" t="s">
        <v>32</v>
      </c>
      <c r="G143" s="5" t="s">
        <v>1864</v>
      </c>
      <c r="H143" s="5" t="s">
        <v>34</v>
      </c>
      <c r="I143" s="8">
        <v>97.0</v>
      </c>
      <c r="J143" s="9" t="s">
        <v>35</v>
      </c>
      <c r="K143" s="5" t="s">
        <v>1864</v>
      </c>
      <c r="L143" s="5" t="s">
        <v>34</v>
      </c>
      <c r="M143" s="5"/>
      <c r="N143" s="5"/>
      <c r="O143" s="5"/>
      <c r="P143" s="5" t="s">
        <v>1973</v>
      </c>
      <c r="Q143" s="5" t="s">
        <v>1973</v>
      </c>
      <c r="R143" s="5" t="s">
        <v>1974</v>
      </c>
      <c r="S143" s="5" t="s">
        <v>1975</v>
      </c>
      <c r="T143" s="5" t="s">
        <v>1976</v>
      </c>
      <c r="U143" s="5" t="s">
        <v>1977</v>
      </c>
      <c r="V143" s="5"/>
      <c r="W143" s="5" t="s">
        <v>1978</v>
      </c>
      <c r="X143" s="5" t="s">
        <v>1979</v>
      </c>
      <c r="Y143" s="5" t="s">
        <v>1980</v>
      </c>
      <c r="Z143" s="5">
        <v>3.0</v>
      </c>
      <c r="AA143" s="5">
        <v>2026.0</v>
      </c>
      <c r="AB143" s="5" t="s">
        <v>34</v>
      </c>
    </row>
    <row r="144" ht="15.75" customHeight="1">
      <c r="A144" s="4" t="s">
        <v>1981</v>
      </c>
      <c r="B144" s="5" t="s">
        <v>1702</v>
      </c>
      <c r="C144" s="12" t="str">
        <f>"https://" &amp; "letterboxd" &amp; ".com/film/un-mundo-abandonado/"</f>
        <v>https://letterboxd.com/film/un-mundo-abandonado/</v>
      </c>
      <c r="D144" s="7" t="s">
        <v>1982</v>
      </c>
      <c r="E144" s="5" t="s">
        <v>1983</v>
      </c>
      <c r="F144" s="5" t="s">
        <v>32</v>
      </c>
      <c r="G144" s="5" t="s">
        <v>1705</v>
      </c>
      <c r="H144" s="5" t="s">
        <v>34</v>
      </c>
      <c r="I144" s="8">
        <v>75.0</v>
      </c>
      <c r="J144" s="9" t="s">
        <v>35</v>
      </c>
      <c r="K144" s="5" t="s">
        <v>1717</v>
      </c>
      <c r="L144" s="5" t="s">
        <v>34</v>
      </c>
      <c r="M144" s="5"/>
      <c r="N144" s="5"/>
      <c r="O144" s="5"/>
      <c r="P144" s="5" t="s">
        <v>1984</v>
      </c>
      <c r="Q144" s="5"/>
      <c r="R144" s="5" t="s">
        <v>1985</v>
      </c>
      <c r="S144" s="5"/>
      <c r="T144" s="5" t="s">
        <v>1986</v>
      </c>
      <c r="U144" s="5" t="s">
        <v>1987</v>
      </c>
      <c r="V144" s="5" t="s">
        <v>1988</v>
      </c>
      <c r="W144" s="5" t="s">
        <v>1989</v>
      </c>
      <c r="X144" s="5" t="s">
        <v>1990</v>
      </c>
      <c r="Y144" s="5" t="s">
        <v>1991</v>
      </c>
      <c r="Z144" s="5">
        <v>3.0</v>
      </c>
      <c r="AA144" s="5">
        <v>2026.0</v>
      </c>
      <c r="AB144" s="5" t="s">
        <v>34</v>
      </c>
    </row>
    <row r="145" ht="15.75" customHeight="1">
      <c r="A145" s="4" t="s">
        <v>1992</v>
      </c>
      <c r="B145" s="5" t="s">
        <v>1702</v>
      </c>
      <c r="C145" s="12" t="str">
        <f>"https://" &amp; "letterboxd" &amp; ".com/film/vinchuca/"</f>
        <v>https://letterboxd.com/film/vinchuca/</v>
      </c>
      <c r="D145" s="7" t="s">
        <v>1993</v>
      </c>
      <c r="E145" s="5"/>
      <c r="F145" s="5" t="s">
        <v>81</v>
      </c>
      <c r="G145" s="5" t="s">
        <v>1705</v>
      </c>
      <c r="H145" s="5" t="s">
        <v>34</v>
      </c>
      <c r="I145" s="8">
        <v>96.0</v>
      </c>
      <c r="J145" s="9" t="s">
        <v>1994</v>
      </c>
      <c r="K145" s="5" t="s">
        <v>1995</v>
      </c>
      <c r="L145" s="5" t="s">
        <v>34</v>
      </c>
      <c r="M145" s="5"/>
      <c r="N145" s="5"/>
      <c r="O145" s="5"/>
      <c r="P145" s="5" t="s">
        <v>1996</v>
      </c>
      <c r="Q145" s="5" t="s">
        <v>1997</v>
      </c>
      <c r="R145" s="5" t="s">
        <v>1998</v>
      </c>
      <c r="S145" s="5" t="s">
        <v>1999</v>
      </c>
      <c r="T145" s="5" t="s">
        <v>2000</v>
      </c>
      <c r="U145" s="5" t="s">
        <v>2001</v>
      </c>
      <c r="V145" s="5" t="s">
        <v>2002</v>
      </c>
      <c r="W145" s="5" t="s">
        <v>2003</v>
      </c>
      <c r="X145" s="5" t="s">
        <v>2004</v>
      </c>
      <c r="Y145" s="5" t="s">
        <v>2005</v>
      </c>
      <c r="Z145" s="5">
        <v>3.0</v>
      </c>
      <c r="AA145" s="5">
        <v>2024.0</v>
      </c>
      <c r="AB145" s="5" t="s">
        <v>34</v>
      </c>
    </row>
    <row r="146" ht="15.75" customHeight="1">
      <c r="A146" s="4" t="s">
        <v>2006</v>
      </c>
      <c r="B146" s="5" t="s">
        <v>2007</v>
      </c>
      <c r="C146" s="12" t="s">
        <v>2008</v>
      </c>
      <c r="D146" s="7" t="s">
        <v>2009</v>
      </c>
      <c r="E146" s="5"/>
      <c r="F146" s="5" t="s">
        <v>81</v>
      </c>
      <c r="G146" s="5" t="s">
        <v>2010</v>
      </c>
      <c r="H146" s="5" t="s">
        <v>83</v>
      </c>
      <c r="I146" s="8">
        <v>88.0</v>
      </c>
      <c r="J146" s="9" t="s">
        <v>98</v>
      </c>
      <c r="K146" s="5" t="s">
        <v>2011</v>
      </c>
      <c r="L146" s="5" t="s">
        <v>83</v>
      </c>
      <c r="M146" s="5"/>
      <c r="N146" s="5"/>
      <c r="O146" s="5"/>
      <c r="P146" s="5" t="s">
        <v>2012</v>
      </c>
      <c r="Q146" s="5" t="s">
        <v>2013</v>
      </c>
      <c r="R146" s="5" t="s">
        <v>2014</v>
      </c>
      <c r="S146" s="5" t="s">
        <v>2015</v>
      </c>
      <c r="T146" s="5" t="s">
        <v>2016</v>
      </c>
      <c r="U146" s="5" t="s">
        <v>2017</v>
      </c>
      <c r="V146" s="5"/>
      <c r="W146" s="5"/>
      <c r="X146" s="5" t="s">
        <v>2018</v>
      </c>
      <c r="Y146" s="5" t="s">
        <v>2019</v>
      </c>
      <c r="Z146" s="5">
        <v>3.0</v>
      </c>
      <c r="AA146" s="5">
        <v>2025.0</v>
      </c>
      <c r="AB146" s="5" t="s">
        <v>83</v>
      </c>
    </row>
    <row r="147" ht="15.75" customHeight="1">
      <c r="A147" s="4" t="s">
        <v>2020</v>
      </c>
      <c r="B147" s="5" t="s">
        <v>2007</v>
      </c>
      <c r="C147" s="12" t="s">
        <v>2021</v>
      </c>
      <c r="D147" s="7" t="s">
        <v>2022</v>
      </c>
      <c r="E147" s="5"/>
      <c r="F147" s="5" t="s">
        <v>81</v>
      </c>
      <c r="G147" s="5" t="s">
        <v>847</v>
      </c>
      <c r="H147" s="5" t="s">
        <v>83</v>
      </c>
      <c r="I147" s="8">
        <v>110.0</v>
      </c>
      <c r="J147" s="9" t="s">
        <v>35</v>
      </c>
      <c r="K147" s="5" t="s">
        <v>847</v>
      </c>
      <c r="L147" s="5" t="s">
        <v>83</v>
      </c>
      <c r="M147" s="5"/>
      <c r="N147" s="5"/>
      <c r="O147" s="5"/>
      <c r="P147" s="5" t="s">
        <v>2023</v>
      </c>
      <c r="Q147" s="5" t="s">
        <v>2023</v>
      </c>
      <c r="R147" s="5"/>
      <c r="S147" s="5" t="s">
        <v>2024</v>
      </c>
      <c r="T147" s="5" t="s">
        <v>2025</v>
      </c>
      <c r="U147" s="5" t="s">
        <v>2026</v>
      </c>
      <c r="V147" s="5"/>
      <c r="W147" s="5" t="s">
        <v>2027</v>
      </c>
      <c r="X147" s="5" t="s">
        <v>2028</v>
      </c>
      <c r="Y147" s="5" t="s">
        <v>2029</v>
      </c>
      <c r="Z147" s="5">
        <v>3.0</v>
      </c>
      <c r="AA147" s="5">
        <v>2026.0</v>
      </c>
      <c r="AB147" s="5" t="s">
        <v>83</v>
      </c>
    </row>
    <row r="148" ht="15.75" customHeight="1">
      <c r="A148" s="4" t="s">
        <v>2030</v>
      </c>
      <c r="B148" s="5" t="s">
        <v>2007</v>
      </c>
      <c r="C148" s="12" t="s">
        <v>2031</v>
      </c>
      <c r="D148" s="7" t="s">
        <v>2032</v>
      </c>
      <c r="E148" s="5"/>
      <c r="F148" s="5" t="s">
        <v>81</v>
      </c>
      <c r="G148" s="5" t="s">
        <v>33</v>
      </c>
      <c r="H148" s="5" t="s">
        <v>83</v>
      </c>
      <c r="I148" s="8">
        <v>102.0</v>
      </c>
      <c r="J148" s="9" t="s">
        <v>35</v>
      </c>
      <c r="K148" s="5" t="s">
        <v>33</v>
      </c>
      <c r="L148" s="5" t="s">
        <v>83</v>
      </c>
      <c r="M148" s="5"/>
      <c r="N148" s="5"/>
      <c r="O148" s="5"/>
      <c r="P148" s="5" t="s">
        <v>2033</v>
      </c>
      <c r="Q148" s="5"/>
      <c r="R148" s="5" t="s">
        <v>2034</v>
      </c>
      <c r="S148" s="5" t="s">
        <v>2035</v>
      </c>
      <c r="T148" s="5"/>
      <c r="U148" s="5" t="s">
        <v>2036</v>
      </c>
      <c r="V148" s="5" t="s">
        <v>2037</v>
      </c>
      <c r="W148" s="5"/>
      <c r="X148" s="5" t="s">
        <v>2038</v>
      </c>
      <c r="Y148" s="5" t="s">
        <v>2039</v>
      </c>
      <c r="Z148" s="5">
        <v>3.0</v>
      </c>
      <c r="AA148" s="5">
        <v>2026.0</v>
      </c>
      <c r="AB148" s="5" t="s">
        <v>83</v>
      </c>
    </row>
    <row r="149" ht="15.75" customHeight="1">
      <c r="A149" s="4" t="s">
        <v>2040</v>
      </c>
      <c r="B149" s="5" t="s">
        <v>2007</v>
      </c>
      <c r="C149" s="12" t="s">
        <v>2041</v>
      </c>
      <c r="D149" s="7" t="s">
        <v>2042</v>
      </c>
      <c r="E149" s="5" t="s">
        <v>2043</v>
      </c>
      <c r="F149" s="5" t="s">
        <v>32</v>
      </c>
      <c r="G149" s="5" t="s">
        <v>1785</v>
      </c>
      <c r="H149" s="5" t="s">
        <v>83</v>
      </c>
      <c r="I149" s="8">
        <v>105.0</v>
      </c>
      <c r="J149" s="9" t="s">
        <v>98</v>
      </c>
      <c r="K149" s="5" t="s">
        <v>2044</v>
      </c>
      <c r="L149" s="5" t="s">
        <v>83</v>
      </c>
      <c r="M149" s="5"/>
      <c r="N149" s="5"/>
      <c r="O149" s="5"/>
      <c r="P149" s="5" t="s">
        <v>2045</v>
      </c>
      <c r="Q149" s="5"/>
      <c r="R149" s="5" t="s">
        <v>2046</v>
      </c>
      <c r="S149" s="5" t="s">
        <v>2047</v>
      </c>
      <c r="T149" s="5" t="s">
        <v>2048</v>
      </c>
      <c r="U149" s="5" t="s">
        <v>2049</v>
      </c>
      <c r="V149" s="5" t="s">
        <v>2050</v>
      </c>
      <c r="W149" s="5"/>
      <c r="X149" s="5" t="s">
        <v>2051</v>
      </c>
      <c r="Y149" s="5" t="s">
        <v>2052</v>
      </c>
      <c r="Z149" s="5">
        <v>3.0</v>
      </c>
      <c r="AA149" s="5">
        <v>2025.0</v>
      </c>
      <c r="AB149" s="5" t="s">
        <v>83</v>
      </c>
    </row>
    <row r="150" ht="15.75" customHeight="1">
      <c r="A150" s="4" t="s">
        <v>2053</v>
      </c>
      <c r="B150" s="5" t="s">
        <v>2007</v>
      </c>
      <c r="C150" s="12" t="s">
        <v>2054</v>
      </c>
      <c r="D150" s="7" t="s">
        <v>2055</v>
      </c>
      <c r="E150" s="5" t="s">
        <v>2056</v>
      </c>
      <c r="F150" s="5" t="s">
        <v>32</v>
      </c>
      <c r="G150" s="5" t="s">
        <v>418</v>
      </c>
      <c r="H150" s="5" t="s">
        <v>83</v>
      </c>
      <c r="I150" s="8">
        <v>87.0</v>
      </c>
      <c r="J150" s="9" t="s">
        <v>35</v>
      </c>
      <c r="K150" s="5" t="s">
        <v>2057</v>
      </c>
      <c r="L150" s="5" t="s">
        <v>83</v>
      </c>
      <c r="M150" s="5"/>
      <c r="N150" s="5"/>
      <c r="O150" s="5"/>
      <c r="P150" s="5" t="s">
        <v>2058</v>
      </c>
      <c r="Q150" s="5"/>
      <c r="R150" s="5" t="s">
        <v>2059</v>
      </c>
      <c r="S150" s="5" t="s">
        <v>2060</v>
      </c>
      <c r="T150" s="5" t="s">
        <v>2061</v>
      </c>
      <c r="U150" s="5" t="s">
        <v>2062</v>
      </c>
      <c r="V150" s="5" t="s">
        <v>2063</v>
      </c>
      <c r="W150" s="5" t="s">
        <v>2064</v>
      </c>
      <c r="X150" s="5" t="s">
        <v>2065</v>
      </c>
      <c r="Y150" s="5" t="s">
        <v>2066</v>
      </c>
      <c r="Z150" s="5">
        <v>3.0</v>
      </c>
      <c r="AA150" s="5">
        <v>2026.0</v>
      </c>
      <c r="AB150" s="5" t="s">
        <v>83</v>
      </c>
    </row>
    <row r="151" ht="15.75" customHeight="1">
      <c r="A151" s="4" t="s">
        <v>2067</v>
      </c>
      <c r="B151" s="5" t="s">
        <v>2007</v>
      </c>
      <c r="C151" s="12" t="s">
        <v>2068</v>
      </c>
      <c r="D151" s="7" t="s">
        <v>2069</v>
      </c>
      <c r="E151" s="5" t="s">
        <v>2070</v>
      </c>
      <c r="F151" s="5" t="s">
        <v>32</v>
      </c>
      <c r="G151" s="5" t="s">
        <v>33</v>
      </c>
      <c r="H151" s="5" t="s">
        <v>83</v>
      </c>
      <c r="I151" s="8">
        <v>107.0</v>
      </c>
      <c r="J151" s="9" t="s">
        <v>35</v>
      </c>
      <c r="K151" s="5" t="s">
        <v>33</v>
      </c>
      <c r="L151" s="5" t="s">
        <v>83</v>
      </c>
      <c r="M151" s="5"/>
      <c r="N151" s="5"/>
      <c r="O151" s="5"/>
      <c r="P151" s="5" t="s">
        <v>2071</v>
      </c>
      <c r="Q151" s="5" t="s">
        <v>2072</v>
      </c>
      <c r="R151" s="5" t="s">
        <v>2073</v>
      </c>
      <c r="S151" s="5" t="s">
        <v>2074</v>
      </c>
      <c r="T151" s="5" t="s">
        <v>2075</v>
      </c>
      <c r="U151" s="5" t="s">
        <v>2076</v>
      </c>
      <c r="V151" s="5" t="s">
        <v>2077</v>
      </c>
      <c r="W151" s="5" t="s">
        <v>2072</v>
      </c>
      <c r="X151" s="5" t="s">
        <v>2078</v>
      </c>
      <c r="Y151" s="5" t="s">
        <v>2079</v>
      </c>
      <c r="Z151" s="5">
        <v>3.0</v>
      </c>
      <c r="AA151" s="5">
        <v>2026.0</v>
      </c>
      <c r="AB151" s="5" t="s">
        <v>83</v>
      </c>
    </row>
    <row r="152" ht="15.75" customHeight="1">
      <c r="A152" s="4" t="s">
        <v>2080</v>
      </c>
      <c r="B152" s="5" t="s">
        <v>2007</v>
      </c>
      <c r="C152" s="12" t="str">
        <f>"https://" &amp; "letterboxd" &amp; ".com/film/gerry-adams-un-hombre-de-ballymurphy/"</f>
        <v>https://letterboxd.com/film/gerry-adams-un-hombre-de-ballymurphy/</v>
      </c>
      <c r="D152" s="7" t="s">
        <v>2081</v>
      </c>
      <c r="E152" s="5" t="s">
        <v>2082</v>
      </c>
      <c r="F152" s="5" t="s">
        <v>32</v>
      </c>
      <c r="G152" s="5" t="s">
        <v>1731</v>
      </c>
      <c r="H152" s="5" t="s">
        <v>83</v>
      </c>
      <c r="I152" s="8">
        <v>117.0</v>
      </c>
      <c r="J152" s="9" t="s">
        <v>98</v>
      </c>
      <c r="K152" s="5" t="s">
        <v>2083</v>
      </c>
      <c r="L152" s="5" t="s">
        <v>83</v>
      </c>
      <c r="M152" s="5"/>
      <c r="N152" s="5"/>
      <c r="O152" s="5"/>
      <c r="P152" s="5" t="s">
        <v>2084</v>
      </c>
      <c r="Q152" s="5" t="s">
        <v>2084</v>
      </c>
      <c r="R152" s="5" t="s">
        <v>2085</v>
      </c>
      <c r="S152" s="5" t="s">
        <v>2086</v>
      </c>
      <c r="T152" s="5" t="s">
        <v>2087</v>
      </c>
      <c r="U152" s="5" t="s">
        <v>2088</v>
      </c>
      <c r="V152" s="5" t="s">
        <v>2089</v>
      </c>
      <c r="W152" s="5"/>
      <c r="X152" s="5" t="s">
        <v>2090</v>
      </c>
      <c r="Y152" s="5" t="s">
        <v>2091</v>
      </c>
      <c r="Z152" s="5">
        <v>3.0</v>
      </c>
      <c r="AA152" s="5">
        <v>2025.0</v>
      </c>
      <c r="AB152" s="5" t="s">
        <v>83</v>
      </c>
    </row>
    <row r="153" ht="15.75" customHeight="1">
      <c r="A153" s="4" t="s">
        <v>2092</v>
      </c>
      <c r="B153" s="5" t="s">
        <v>2007</v>
      </c>
      <c r="C153" s="12" t="str">
        <f>"https://" &amp; "letterboxd" &amp; ".com/film/jean-michel-basquiat-2026/"</f>
        <v>https://letterboxd.com/film/jean-michel-basquiat-2026/</v>
      </c>
      <c r="D153" s="7" t="s">
        <v>2093</v>
      </c>
      <c r="E153" s="5"/>
      <c r="F153" s="5" t="s">
        <v>81</v>
      </c>
      <c r="G153" s="5" t="s">
        <v>33</v>
      </c>
      <c r="H153" s="5" t="s">
        <v>83</v>
      </c>
      <c r="I153" s="8">
        <v>98.0</v>
      </c>
      <c r="J153" s="9" t="s">
        <v>35</v>
      </c>
      <c r="K153" s="5" t="s">
        <v>33</v>
      </c>
      <c r="L153" s="5" t="s">
        <v>83</v>
      </c>
      <c r="M153" s="5"/>
      <c r="N153" s="5"/>
      <c r="O153" s="5"/>
      <c r="P153" s="5" t="s">
        <v>2094</v>
      </c>
      <c r="Q153" s="5"/>
      <c r="R153" s="5"/>
      <c r="S153" s="5" t="s">
        <v>2095</v>
      </c>
      <c r="T153" s="5" t="s">
        <v>2096</v>
      </c>
      <c r="U153" s="5" t="s">
        <v>2097</v>
      </c>
      <c r="V153" s="5" t="s">
        <v>2098</v>
      </c>
      <c r="W153" s="5"/>
      <c r="X153" s="5" t="s">
        <v>2099</v>
      </c>
      <c r="Y153" s="5" t="s">
        <v>2100</v>
      </c>
      <c r="Z153" s="5">
        <v>3.0</v>
      </c>
      <c r="AA153" s="5">
        <v>2026.0</v>
      </c>
      <c r="AB153" s="5" t="s">
        <v>83</v>
      </c>
    </row>
    <row r="154" ht="15.75" customHeight="1">
      <c r="A154" s="4" t="s">
        <v>2101</v>
      </c>
      <c r="B154" s="5" t="s">
        <v>2007</v>
      </c>
      <c r="C154" s="12" t="s">
        <v>2102</v>
      </c>
      <c r="D154" s="7" t="s">
        <v>2103</v>
      </c>
      <c r="E154" s="5"/>
      <c r="F154" s="5" t="s">
        <v>81</v>
      </c>
      <c r="G154" s="5" t="s">
        <v>533</v>
      </c>
      <c r="H154" s="5" t="s">
        <v>83</v>
      </c>
      <c r="I154" s="8">
        <v>86.0</v>
      </c>
      <c r="J154" s="9" t="s">
        <v>35</v>
      </c>
      <c r="K154" s="5" t="s">
        <v>33</v>
      </c>
      <c r="L154" s="5" t="s">
        <v>2104</v>
      </c>
      <c r="M154" s="5"/>
      <c r="N154" s="5"/>
      <c r="O154" s="5"/>
      <c r="P154" s="5" t="s">
        <v>2105</v>
      </c>
      <c r="Q154" s="5"/>
      <c r="R154" s="5"/>
      <c r="S154" s="5"/>
      <c r="T154" s="5"/>
      <c r="U154" s="5"/>
      <c r="V154" s="5"/>
      <c r="W154" s="5" t="s">
        <v>2106</v>
      </c>
      <c r="X154" s="5" t="s">
        <v>2107</v>
      </c>
      <c r="Y154" s="5" t="s">
        <v>2108</v>
      </c>
      <c r="Z154" s="5">
        <v>3.0</v>
      </c>
      <c r="AA154" s="5">
        <v>2026.0</v>
      </c>
      <c r="AB154" s="5" t="s">
        <v>2104</v>
      </c>
    </row>
    <row r="155" ht="15.75" customHeight="1">
      <c r="A155" s="4" t="s">
        <v>2109</v>
      </c>
      <c r="B155" s="5" t="s">
        <v>2007</v>
      </c>
      <c r="C155" s="12" t="s">
        <v>2110</v>
      </c>
      <c r="D155" s="7" t="s">
        <v>2111</v>
      </c>
      <c r="E155" s="5" t="s">
        <v>2112</v>
      </c>
      <c r="F155" s="5" t="s">
        <v>32</v>
      </c>
      <c r="G155" s="5" t="s">
        <v>2113</v>
      </c>
      <c r="H155" s="5" t="s">
        <v>83</v>
      </c>
      <c r="I155" s="8">
        <v>110.0</v>
      </c>
      <c r="J155" s="9" t="s">
        <v>35</v>
      </c>
      <c r="K155" s="5" t="s">
        <v>2114</v>
      </c>
      <c r="L155" s="5" t="s">
        <v>83</v>
      </c>
      <c r="M155" s="5"/>
      <c r="N155" s="5"/>
      <c r="O155" s="5"/>
      <c r="P155" s="5" t="s">
        <v>2115</v>
      </c>
      <c r="Q155" s="5" t="s">
        <v>2115</v>
      </c>
      <c r="R155" s="5" t="s">
        <v>2116</v>
      </c>
      <c r="S155" s="5" t="s">
        <v>2117</v>
      </c>
      <c r="T155" s="5" t="s">
        <v>2118</v>
      </c>
      <c r="U155" s="5" t="s">
        <v>2119</v>
      </c>
      <c r="V155" s="5" t="s">
        <v>2120</v>
      </c>
      <c r="W155" s="5" t="s">
        <v>2121</v>
      </c>
      <c r="X155" s="5" t="s">
        <v>2122</v>
      </c>
      <c r="Y155" s="5" t="s">
        <v>2123</v>
      </c>
      <c r="Z155" s="5">
        <v>3.0</v>
      </c>
      <c r="AA155" s="5">
        <v>2026.0</v>
      </c>
      <c r="AB155" s="5" t="s">
        <v>83</v>
      </c>
    </row>
    <row r="156" ht="15.75" customHeight="1">
      <c r="A156" s="4" t="s">
        <v>2124</v>
      </c>
      <c r="B156" s="5" t="s">
        <v>2007</v>
      </c>
      <c r="C156" s="12" t="s">
        <v>2125</v>
      </c>
      <c r="D156" s="7" t="s">
        <v>2126</v>
      </c>
      <c r="E156" s="5"/>
      <c r="F156" s="5" t="s">
        <v>81</v>
      </c>
      <c r="G156" s="5" t="s">
        <v>261</v>
      </c>
      <c r="H156" s="5" t="s">
        <v>83</v>
      </c>
      <c r="I156" s="8">
        <v>102.0</v>
      </c>
      <c r="J156" s="9" t="s">
        <v>35</v>
      </c>
      <c r="K156" s="5" t="s">
        <v>261</v>
      </c>
      <c r="L156" s="5" t="s">
        <v>83</v>
      </c>
      <c r="M156" s="5"/>
      <c r="N156" s="5"/>
      <c r="O156" s="5"/>
      <c r="P156" s="5" t="s">
        <v>2127</v>
      </c>
      <c r="Q156" s="5"/>
      <c r="R156" s="5" t="s">
        <v>2128</v>
      </c>
      <c r="S156" s="5" t="s">
        <v>2129</v>
      </c>
      <c r="T156" s="5" t="s">
        <v>2130</v>
      </c>
      <c r="U156" s="5" t="s">
        <v>2131</v>
      </c>
      <c r="V156" s="5" t="s">
        <v>2132</v>
      </c>
      <c r="W156" s="5"/>
      <c r="X156" s="5" t="s">
        <v>2133</v>
      </c>
      <c r="Y156" s="5" t="s">
        <v>2134</v>
      </c>
      <c r="Z156" s="5">
        <v>3.0</v>
      </c>
      <c r="AA156" s="5">
        <v>2026.0</v>
      </c>
      <c r="AB156" s="5" t="s">
        <v>83</v>
      </c>
    </row>
    <row r="157" ht="15.75" customHeight="1">
      <c r="A157" s="4" t="s">
        <v>2135</v>
      </c>
      <c r="B157" s="5" t="s">
        <v>2136</v>
      </c>
      <c r="C157" s="12" t="str">
        <f>"https://" &amp; "letterboxd" &amp; ".com/film/a-fabulosa-maquina-do-tempo/"</f>
        <v>https://letterboxd.com/film/a-fabulosa-maquina-do-tempo/</v>
      </c>
      <c r="D157" s="7" t="s">
        <v>2137</v>
      </c>
      <c r="E157" s="5"/>
      <c r="F157" s="5" t="s">
        <v>81</v>
      </c>
      <c r="G157" s="5" t="s">
        <v>2138</v>
      </c>
      <c r="H157" s="5" t="s">
        <v>83</v>
      </c>
      <c r="I157" s="8">
        <v>72.0</v>
      </c>
      <c r="J157" s="9" t="s">
        <v>2139</v>
      </c>
      <c r="K157" s="5" t="s">
        <v>2140</v>
      </c>
      <c r="L157" s="5" t="s">
        <v>83</v>
      </c>
      <c r="M157" s="5"/>
      <c r="N157" s="5"/>
      <c r="O157" s="5"/>
      <c r="P157" s="5" t="s">
        <v>2141</v>
      </c>
      <c r="Q157" s="5"/>
      <c r="R157" s="5"/>
      <c r="S157" s="5"/>
      <c r="T157" s="5"/>
      <c r="U157" s="5"/>
      <c r="V157" s="5"/>
      <c r="W157" s="5"/>
      <c r="X157" s="5" t="s">
        <v>2142</v>
      </c>
      <c r="Y157" s="5" t="s">
        <v>2143</v>
      </c>
      <c r="Z157" s="5">
        <v>2.0</v>
      </c>
      <c r="AA157" s="5" t="s">
        <v>2139</v>
      </c>
      <c r="AB157" s="5" t="s">
        <v>83</v>
      </c>
    </row>
    <row r="158" ht="15.75" customHeight="1">
      <c r="A158" s="4" t="s">
        <v>2144</v>
      </c>
      <c r="B158" s="5" t="s">
        <v>2136</v>
      </c>
      <c r="C158" s="12" t="str">
        <f>"https://" &amp; "letterboxd" &amp; ".com/film/agentes-muito-especiais/"</f>
        <v>https://letterboxd.com/film/agentes-muito-especiais/</v>
      </c>
      <c r="D158" s="7" t="s">
        <v>2145</v>
      </c>
      <c r="E158" s="5"/>
      <c r="F158" s="5" t="s">
        <v>2146</v>
      </c>
      <c r="G158" s="5" t="s">
        <v>2138</v>
      </c>
      <c r="H158" s="5" t="s">
        <v>34</v>
      </c>
      <c r="I158" s="8">
        <v>100.0</v>
      </c>
      <c r="J158" s="9" t="s">
        <v>35</v>
      </c>
      <c r="K158" s="5" t="s">
        <v>2138</v>
      </c>
      <c r="L158" s="5" t="s">
        <v>2147</v>
      </c>
      <c r="M158" s="5"/>
      <c r="N158" s="5"/>
      <c r="O158" s="5"/>
      <c r="P158" s="5" t="s">
        <v>2148</v>
      </c>
      <c r="Q158" s="5" t="s">
        <v>2149</v>
      </c>
      <c r="R158" s="5" t="s">
        <v>2150</v>
      </c>
      <c r="S158" s="5" t="s">
        <v>2151</v>
      </c>
      <c r="T158" s="5"/>
      <c r="U158" s="5"/>
      <c r="V158" s="5"/>
      <c r="W158" s="5" t="s">
        <v>2152</v>
      </c>
      <c r="X158" s="5" t="s">
        <v>2153</v>
      </c>
      <c r="Y158" s="5" t="s">
        <v>2154</v>
      </c>
      <c r="Z158" s="5">
        <v>2.0</v>
      </c>
      <c r="AA158" s="5">
        <v>2026.0</v>
      </c>
      <c r="AB158" s="5" t="s">
        <v>2147</v>
      </c>
    </row>
    <row r="159" ht="15.75" customHeight="1">
      <c r="A159" s="4" t="s">
        <v>2155</v>
      </c>
      <c r="B159" s="5" t="s">
        <v>2136</v>
      </c>
      <c r="C159" s="12" t="str">
        <f>"https://" &amp; "letterboxd" &amp; ".com/film/anatomia-do-caos/"</f>
        <v>https://letterboxd.com/film/anatomia-do-caos/</v>
      </c>
      <c r="D159" s="7" t="s">
        <v>2156</v>
      </c>
      <c r="E159" s="5"/>
      <c r="F159" s="5" t="s">
        <v>81</v>
      </c>
      <c r="G159" s="5" t="s">
        <v>2138</v>
      </c>
      <c r="H159" s="5" t="s">
        <v>83</v>
      </c>
      <c r="I159" s="8">
        <v>88.0</v>
      </c>
      <c r="J159" s="9" t="s">
        <v>2139</v>
      </c>
      <c r="K159" s="5" t="s">
        <v>2140</v>
      </c>
      <c r="L159" s="5" t="s">
        <v>83</v>
      </c>
      <c r="M159" s="5"/>
      <c r="N159" s="5"/>
      <c r="O159" s="5"/>
      <c r="P159" s="5" t="s">
        <v>2157</v>
      </c>
      <c r="Q159" s="5"/>
      <c r="R159" s="5"/>
      <c r="S159" s="5"/>
      <c r="T159" s="5"/>
      <c r="U159" s="5"/>
      <c r="V159" s="5"/>
      <c r="W159" s="5"/>
      <c r="X159" s="5" t="s">
        <v>2158</v>
      </c>
      <c r="Y159" s="5" t="s">
        <v>2159</v>
      </c>
      <c r="Z159" s="5">
        <v>1.0</v>
      </c>
      <c r="AA159" s="5" t="s">
        <v>2139</v>
      </c>
      <c r="AB159" s="5" t="s">
        <v>83</v>
      </c>
    </row>
    <row r="160" ht="15.75" customHeight="1">
      <c r="A160" s="4" t="s">
        <v>2160</v>
      </c>
      <c r="B160" s="5" t="s">
        <v>2136</v>
      </c>
      <c r="C160" s="12" t="str">
        <f>"https://" &amp; "letterboxd" &amp; ".com/film/antigona-442-ac/"</f>
        <v>https://letterboxd.com/film/antigona-442-ac/</v>
      </c>
      <c r="D160" s="7" t="s">
        <v>2161</v>
      </c>
      <c r="E160" s="5"/>
      <c r="F160" s="5" t="s">
        <v>2146</v>
      </c>
      <c r="G160" s="5" t="s">
        <v>2138</v>
      </c>
      <c r="H160" s="5" t="s">
        <v>34</v>
      </c>
      <c r="I160" s="8">
        <v>70.0</v>
      </c>
      <c r="J160" s="9" t="s">
        <v>2162</v>
      </c>
      <c r="K160" s="5" t="s">
        <v>2138</v>
      </c>
      <c r="L160" s="5" t="s">
        <v>2163</v>
      </c>
      <c r="M160" s="5"/>
      <c r="N160" s="5"/>
      <c r="O160" s="5"/>
      <c r="P160" s="5" t="s">
        <v>2164</v>
      </c>
      <c r="Q160" s="5" t="s">
        <v>2165</v>
      </c>
      <c r="R160" s="5"/>
      <c r="S160" s="5" t="s">
        <v>2166</v>
      </c>
      <c r="T160" s="5"/>
      <c r="U160" s="5"/>
      <c r="V160" s="5"/>
      <c r="W160" s="5"/>
      <c r="X160" s="5" t="s">
        <v>2167</v>
      </c>
      <c r="Y160" s="5" t="s">
        <v>2168</v>
      </c>
      <c r="Z160" s="5">
        <v>1.0</v>
      </c>
      <c r="AA160" s="5">
        <v>2021.0</v>
      </c>
      <c r="AB160" s="5" t="s">
        <v>2163</v>
      </c>
    </row>
    <row r="161" ht="15.75" customHeight="1">
      <c r="A161" s="4" t="s">
        <v>2169</v>
      </c>
      <c r="B161" s="5" t="s">
        <v>2136</v>
      </c>
      <c r="C161" s="12" t="s">
        <v>2170</v>
      </c>
      <c r="D161" s="7" t="s">
        <v>2171</v>
      </c>
      <c r="E161" s="5"/>
      <c r="F161" s="5" t="s">
        <v>81</v>
      </c>
      <c r="G161" s="5" t="s">
        <v>2138</v>
      </c>
      <c r="H161" s="5" t="s">
        <v>83</v>
      </c>
      <c r="I161" s="8">
        <v>90.0</v>
      </c>
      <c r="J161" s="9" t="s">
        <v>98</v>
      </c>
      <c r="K161" s="5" t="s">
        <v>2138</v>
      </c>
      <c r="L161" s="5" t="s">
        <v>2172</v>
      </c>
      <c r="M161" s="5"/>
      <c r="N161" s="5"/>
      <c r="O161" s="5"/>
      <c r="P161" s="5" t="s">
        <v>2173</v>
      </c>
      <c r="Q161" s="5"/>
      <c r="R161" s="5"/>
      <c r="S161" s="5"/>
      <c r="T161" s="5"/>
      <c r="U161" s="5"/>
      <c r="V161" s="5"/>
      <c r="W161" s="5" t="s">
        <v>2174</v>
      </c>
      <c r="X161" s="5" t="s">
        <v>2175</v>
      </c>
      <c r="Y161" s="5" t="s">
        <v>2176</v>
      </c>
      <c r="Z161" s="5">
        <v>2.0</v>
      </c>
      <c r="AA161" s="5">
        <v>2025.0</v>
      </c>
      <c r="AB161" s="5" t="s">
        <v>2172</v>
      </c>
    </row>
    <row r="162" ht="15.75" customHeight="1">
      <c r="A162" s="4" t="s">
        <v>2177</v>
      </c>
      <c r="B162" s="5" t="s">
        <v>2136</v>
      </c>
      <c r="C162" s="12" t="str">
        <f>"https://" &amp; "letterboxd" &amp; ".com/film/descontrole/"</f>
        <v>https://letterboxd.com/film/descontrole/</v>
      </c>
      <c r="D162" s="7" t="s">
        <v>2178</v>
      </c>
      <c r="E162" s="5"/>
      <c r="F162" s="5" t="s">
        <v>81</v>
      </c>
      <c r="G162" s="5" t="s">
        <v>2138</v>
      </c>
      <c r="H162" s="5" t="s">
        <v>34</v>
      </c>
      <c r="I162" s="8">
        <v>96.0</v>
      </c>
      <c r="J162" s="9" t="s">
        <v>98</v>
      </c>
      <c r="K162" s="5" t="s">
        <v>2138</v>
      </c>
      <c r="L162" s="5" t="s">
        <v>2179</v>
      </c>
      <c r="M162" s="5"/>
      <c r="N162" s="5"/>
      <c r="O162" s="5"/>
      <c r="P162" s="5" t="s">
        <v>2180</v>
      </c>
      <c r="Q162" s="5"/>
      <c r="R162" s="5"/>
      <c r="S162" s="5"/>
      <c r="T162" s="5"/>
      <c r="U162" s="5"/>
      <c r="V162" s="5"/>
      <c r="W162" s="5" t="s">
        <v>2181</v>
      </c>
      <c r="X162" s="5" t="s">
        <v>2182</v>
      </c>
      <c r="Y162" s="5" t="s">
        <v>2183</v>
      </c>
      <c r="Z162" s="5">
        <v>2.0</v>
      </c>
      <c r="AA162" s="5">
        <v>2025.0</v>
      </c>
      <c r="AB162" s="5" t="s">
        <v>2179</v>
      </c>
    </row>
    <row r="163" ht="15.75" customHeight="1">
      <c r="A163" s="4" t="s">
        <v>2184</v>
      </c>
      <c r="B163" s="5" t="s">
        <v>2136</v>
      </c>
      <c r="C163" s="12" t="str">
        <f>"https://" &amp; "letterboxd" &amp; ".com/film/eu-e-meu-avo-nihonjin/"</f>
        <v>https://letterboxd.com/film/eu-e-meu-avo-nihonjin/</v>
      </c>
      <c r="D163" s="7" t="s">
        <v>2185</v>
      </c>
      <c r="E163" s="5"/>
      <c r="F163" s="5" t="s">
        <v>81</v>
      </c>
      <c r="G163" s="5" t="s">
        <v>2138</v>
      </c>
      <c r="H163" s="5" t="s">
        <v>795</v>
      </c>
      <c r="I163" s="8">
        <v>84.0</v>
      </c>
      <c r="J163" s="9" t="s">
        <v>98</v>
      </c>
      <c r="K163" s="5" t="s">
        <v>2138</v>
      </c>
      <c r="L163" s="5" t="s">
        <v>2186</v>
      </c>
      <c r="M163" s="5"/>
      <c r="N163" s="5"/>
      <c r="O163" s="5"/>
      <c r="P163" s="5" t="s">
        <v>2187</v>
      </c>
      <c r="Q163" s="5"/>
      <c r="R163" s="5"/>
      <c r="S163" s="5"/>
      <c r="T163" s="5"/>
      <c r="U163" s="5"/>
      <c r="V163" s="5"/>
      <c r="W163" s="5" t="s">
        <v>2188</v>
      </c>
      <c r="X163" s="5" t="s">
        <v>2189</v>
      </c>
      <c r="Y163" s="5" t="s">
        <v>2190</v>
      </c>
      <c r="Z163" s="5">
        <v>1.0</v>
      </c>
      <c r="AA163" s="5">
        <v>2025.0</v>
      </c>
      <c r="AB163" s="5" t="s">
        <v>2186</v>
      </c>
    </row>
    <row r="164" ht="15.75" customHeight="1">
      <c r="A164" s="4" t="s">
        <v>2191</v>
      </c>
      <c r="B164" s="5" t="s">
        <v>2136</v>
      </c>
      <c r="C164" s="12" t="s">
        <v>2192</v>
      </c>
      <c r="D164" s="7" t="s">
        <v>2193</v>
      </c>
      <c r="E164" s="5"/>
      <c r="F164" s="5" t="s">
        <v>2146</v>
      </c>
      <c r="G164" s="5" t="s">
        <v>2138</v>
      </c>
      <c r="H164" s="5" t="s">
        <v>83</v>
      </c>
      <c r="I164" s="8">
        <v>129.0</v>
      </c>
      <c r="J164" s="9" t="s">
        <v>98</v>
      </c>
      <c r="K164" s="5" t="s">
        <v>2138</v>
      </c>
      <c r="L164" s="5" t="s">
        <v>83</v>
      </c>
      <c r="M164" s="5"/>
      <c r="N164" s="5"/>
      <c r="O164" s="5"/>
      <c r="P164" s="5" t="s">
        <v>2194</v>
      </c>
      <c r="Q164" s="5"/>
      <c r="R164" s="5" t="s">
        <v>2195</v>
      </c>
      <c r="S164" s="5"/>
      <c r="T164" s="5"/>
      <c r="U164" s="5"/>
      <c r="V164" s="5"/>
      <c r="W164" s="5" t="s">
        <v>2196</v>
      </c>
      <c r="X164" s="5" t="s">
        <v>2197</v>
      </c>
      <c r="Y164" s="5" t="s">
        <v>2198</v>
      </c>
      <c r="Z164" s="5">
        <v>4.0</v>
      </c>
      <c r="AA164" s="5">
        <v>2025.0</v>
      </c>
      <c r="AB164" s="5" t="s">
        <v>83</v>
      </c>
    </row>
    <row r="165" ht="15.75" customHeight="1">
      <c r="A165" s="4" t="s">
        <v>2199</v>
      </c>
      <c r="B165" s="5" t="s">
        <v>2136</v>
      </c>
      <c r="C165" s="12" t="str">
        <f>"https://" &amp; "letterboxd" &amp; ".com/film/kasa-branca/"</f>
        <v>https://letterboxd.com/film/kasa-branca/</v>
      </c>
      <c r="D165" s="7" t="s">
        <v>2200</v>
      </c>
      <c r="E165" s="5"/>
      <c r="F165" s="5" t="s">
        <v>81</v>
      </c>
      <c r="G165" s="5" t="s">
        <v>2138</v>
      </c>
      <c r="H165" s="5" t="s">
        <v>34</v>
      </c>
      <c r="I165" s="8">
        <v>95.0</v>
      </c>
      <c r="J165" s="9" t="s">
        <v>1994</v>
      </c>
      <c r="K165" s="5" t="s">
        <v>2138</v>
      </c>
      <c r="L165" s="5" t="s">
        <v>2163</v>
      </c>
      <c r="M165" s="5"/>
      <c r="N165" s="5"/>
      <c r="O165" s="5"/>
      <c r="P165" s="5" t="s">
        <v>2201</v>
      </c>
      <c r="Q165" s="5"/>
      <c r="R165" s="5"/>
      <c r="S165" s="5"/>
      <c r="T165" s="5"/>
      <c r="U165" s="5"/>
      <c r="V165" s="5"/>
      <c r="W165" s="5" t="s">
        <v>2202</v>
      </c>
      <c r="X165" s="5" t="s">
        <v>2203</v>
      </c>
      <c r="Y165" s="5" t="s">
        <v>2204</v>
      </c>
      <c r="Z165" s="5">
        <v>2.0</v>
      </c>
      <c r="AA165" s="5">
        <v>2024.0</v>
      </c>
      <c r="AB165" s="5" t="s">
        <v>2163</v>
      </c>
    </row>
    <row r="166" ht="15.75" customHeight="1">
      <c r="A166" s="4" t="s">
        <v>2205</v>
      </c>
      <c r="B166" s="5" t="s">
        <v>2136</v>
      </c>
      <c r="C166" s="12" t="s">
        <v>2206</v>
      </c>
      <c r="D166" s="7" t="s">
        <v>2207</v>
      </c>
      <c r="E166" s="5"/>
      <c r="F166" s="5" t="s">
        <v>2146</v>
      </c>
      <c r="G166" s="5" t="s">
        <v>2138</v>
      </c>
      <c r="H166" s="5" t="s">
        <v>34</v>
      </c>
      <c r="I166" s="8">
        <v>97.0</v>
      </c>
      <c r="J166" s="9" t="s">
        <v>98</v>
      </c>
      <c r="K166" s="5" t="s">
        <v>2138</v>
      </c>
      <c r="L166" s="5" t="s">
        <v>2208</v>
      </c>
      <c r="M166" s="5"/>
      <c r="N166" s="5"/>
      <c r="O166" s="5"/>
      <c r="P166" s="5" t="s">
        <v>2209</v>
      </c>
      <c r="Q166" s="5"/>
      <c r="R166" s="5" t="s">
        <v>2210</v>
      </c>
      <c r="S166" s="5" t="s">
        <v>2211</v>
      </c>
      <c r="T166" s="5" t="s">
        <v>2212</v>
      </c>
      <c r="U166" s="5"/>
      <c r="V166" s="5"/>
      <c r="W166" s="5" t="s">
        <v>2213</v>
      </c>
      <c r="X166" s="5" t="s">
        <v>2214</v>
      </c>
      <c r="Y166" s="5" t="s">
        <v>2215</v>
      </c>
      <c r="Z166" s="5">
        <v>1.0</v>
      </c>
      <c r="AA166" s="5">
        <v>2025.0</v>
      </c>
      <c r="AB166" s="5" t="s">
        <v>2208</v>
      </c>
    </row>
    <row r="167" ht="15.75" customHeight="1">
      <c r="A167" s="4" t="s">
        <v>2216</v>
      </c>
      <c r="B167" s="5" t="s">
        <v>2136</v>
      </c>
      <c r="C167" s="12" t="s">
        <v>2217</v>
      </c>
      <c r="D167" s="7" t="s">
        <v>2218</v>
      </c>
      <c r="E167" s="5"/>
      <c r="F167" s="5" t="s">
        <v>81</v>
      </c>
      <c r="G167" s="5" t="s">
        <v>2138</v>
      </c>
      <c r="H167" s="5" t="s">
        <v>34</v>
      </c>
      <c r="I167" s="8">
        <v>100.0</v>
      </c>
      <c r="J167" s="9" t="s">
        <v>1994</v>
      </c>
      <c r="K167" s="5" t="s">
        <v>2138</v>
      </c>
      <c r="L167" s="5" t="s">
        <v>2163</v>
      </c>
      <c r="M167" s="5"/>
      <c r="N167" s="5"/>
      <c r="O167" s="5"/>
      <c r="P167" s="5" t="s">
        <v>2219</v>
      </c>
      <c r="Q167" s="5"/>
      <c r="R167" s="5"/>
      <c r="S167" s="5"/>
      <c r="T167" s="5"/>
      <c r="U167" s="5"/>
      <c r="V167" s="5"/>
      <c r="W167" s="5" t="s">
        <v>2220</v>
      </c>
      <c r="X167" s="5" t="s">
        <v>2221</v>
      </c>
      <c r="Y167" s="5" t="s">
        <v>2222</v>
      </c>
      <c r="Z167" s="5">
        <v>1.0</v>
      </c>
      <c r="AA167" s="5">
        <v>2024.0</v>
      </c>
      <c r="AB167" s="5" t="s">
        <v>2163</v>
      </c>
    </row>
    <row r="168" ht="15.75" customHeight="1">
      <c r="A168" s="4" t="s">
        <v>2223</v>
      </c>
      <c r="B168" s="5" t="s">
        <v>2136</v>
      </c>
      <c r="C168" s="12" t="s">
        <v>2224</v>
      </c>
      <c r="D168" s="7" t="s">
        <v>2225</v>
      </c>
      <c r="E168" s="5"/>
      <c r="F168" s="5" t="s">
        <v>2146</v>
      </c>
      <c r="G168" s="5" t="s">
        <v>2138</v>
      </c>
      <c r="H168" s="5" t="s">
        <v>34</v>
      </c>
      <c r="I168" s="8">
        <v>107.0</v>
      </c>
      <c r="J168" s="9" t="s">
        <v>1994</v>
      </c>
      <c r="K168" s="5" t="s">
        <v>2138</v>
      </c>
      <c r="L168" s="5" t="s">
        <v>34</v>
      </c>
      <c r="M168" s="5"/>
      <c r="N168" s="5"/>
      <c r="O168" s="5"/>
      <c r="P168" s="5" t="s">
        <v>2226</v>
      </c>
      <c r="Q168" s="5"/>
      <c r="R168" s="5" t="s">
        <v>2227</v>
      </c>
      <c r="S168" s="5"/>
      <c r="T168" s="5"/>
      <c r="U168" s="5"/>
      <c r="V168" s="5"/>
      <c r="W168" s="5" t="s">
        <v>2228</v>
      </c>
      <c r="X168" s="5" t="s">
        <v>2229</v>
      </c>
      <c r="Y168" s="5" t="s">
        <v>2230</v>
      </c>
      <c r="Z168" s="5">
        <v>2.0</v>
      </c>
      <c r="AA168" s="5">
        <v>2024.0</v>
      </c>
      <c r="AB168" s="5" t="s">
        <v>34</v>
      </c>
    </row>
    <row r="169" ht="15.75" customHeight="1">
      <c r="A169" s="4" t="s">
        <v>2231</v>
      </c>
      <c r="B169" s="5" t="s">
        <v>2136</v>
      </c>
      <c r="C169" s="12" t="s">
        <v>2232</v>
      </c>
      <c r="D169" s="7" t="s">
        <v>2233</v>
      </c>
      <c r="E169" s="5"/>
      <c r="F169" s="5" t="s">
        <v>2146</v>
      </c>
      <c r="G169" s="5" t="s">
        <v>2138</v>
      </c>
      <c r="H169" s="5" t="s">
        <v>83</v>
      </c>
      <c r="I169" s="8">
        <v>119.0</v>
      </c>
      <c r="J169" s="9" t="s">
        <v>1994</v>
      </c>
      <c r="K169" s="5" t="s">
        <v>2138</v>
      </c>
      <c r="L169" s="5" t="s">
        <v>83</v>
      </c>
      <c r="M169" s="5"/>
      <c r="N169" s="5"/>
      <c r="O169" s="5"/>
      <c r="P169" s="5" t="s">
        <v>2234</v>
      </c>
      <c r="Q169" s="5"/>
      <c r="R169" s="5"/>
      <c r="S169" s="5"/>
      <c r="T169" s="5"/>
      <c r="U169" s="5"/>
      <c r="V169" s="5"/>
      <c r="W169" s="5" t="s">
        <v>2235</v>
      </c>
      <c r="X169" s="5" t="s">
        <v>2236</v>
      </c>
      <c r="Y169" s="5" t="s">
        <v>2237</v>
      </c>
      <c r="Z169" s="5">
        <v>2.0</v>
      </c>
      <c r="AA169" s="5">
        <v>2024.0</v>
      </c>
      <c r="AB169" s="5" t="s">
        <v>83</v>
      </c>
    </row>
    <row r="170" ht="15.75" customHeight="1">
      <c r="A170" s="4" t="s">
        <v>2238</v>
      </c>
      <c r="B170" s="5" t="s">
        <v>2136</v>
      </c>
      <c r="C170" s="12" t="s">
        <v>2239</v>
      </c>
      <c r="D170" s="7" t="s">
        <v>2240</v>
      </c>
      <c r="E170" s="5"/>
      <c r="F170" s="5" t="s">
        <v>81</v>
      </c>
      <c r="G170" s="5" t="s">
        <v>2138</v>
      </c>
      <c r="H170" s="5" t="s">
        <v>34</v>
      </c>
      <c r="I170" s="8">
        <v>121.0</v>
      </c>
      <c r="J170" s="9" t="s">
        <v>2241</v>
      </c>
      <c r="K170" s="5" t="s">
        <v>2138</v>
      </c>
      <c r="L170" s="5" t="s">
        <v>2242</v>
      </c>
      <c r="M170" s="5"/>
      <c r="N170" s="5"/>
      <c r="O170" s="5"/>
      <c r="P170" s="5" t="s">
        <v>2243</v>
      </c>
      <c r="Q170" s="5"/>
      <c r="R170" s="5"/>
      <c r="S170" s="5"/>
      <c r="T170" s="5"/>
      <c r="U170" s="5"/>
      <c r="V170" s="5"/>
      <c r="W170" s="5" t="s">
        <v>2244</v>
      </c>
      <c r="X170" s="5" t="s">
        <v>2245</v>
      </c>
      <c r="Y170" s="5" t="s">
        <v>2246</v>
      </c>
      <c r="Z170" s="5">
        <v>4.0</v>
      </c>
      <c r="AA170" s="5">
        <v>2023.0</v>
      </c>
      <c r="AB170" s="5" t="s">
        <v>2242</v>
      </c>
    </row>
    <row r="171" ht="15.75" customHeight="1">
      <c r="A171" s="4" t="s">
        <v>2247</v>
      </c>
      <c r="B171" s="5" t="s">
        <v>2136</v>
      </c>
      <c r="C171" s="12" t="str">
        <f>"https://" &amp; "letterboxd" &amp; ".com/film/o-diario-de-pilar-na-amazonia/"</f>
        <v>https://letterboxd.com/film/o-diario-de-pilar-na-amazonia/</v>
      </c>
      <c r="D171" s="7" t="s">
        <v>2248</v>
      </c>
      <c r="E171" s="5"/>
      <c r="F171" s="5" t="s">
        <v>2146</v>
      </c>
      <c r="G171" s="5" t="s">
        <v>2138</v>
      </c>
      <c r="H171" s="5" t="s">
        <v>34</v>
      </c>
      <c r="I171" s="8">
        <v>90.0</v>
      </c>
      <c r="J171" s="9" t="s">
        <v>98</v>
      </c>
      <c r="K171" s="5" t="s">
        <v>2138</v>
      </c>
      <c r="L171" s="5" t="s">
        <v>2249</v>
      </c>
      <c r="M171" s="5"/>
      <c r="N171" s="5"/>
      <c r="O171" s="5"/>
      <c r="P171" s="5" t="s">
        <v>2250</v>
      </c>
      <c r="Q171" s="5"/>
      <c r="R171" s="5"/>
      <c r="S171" s="5"/>
      <c r="T171" s="5"/>
      <c r="U171" s="5"/>
      <c r="V171" s="5"/>
      <c r="W171" s="5" t="s">
        <v>2251</v>
      </c>
      <c r="X171" s="5" t="s">
        <v>2252</v>
      </c>
      <c r="Y171" s="5" t="s">
        <v>2253</v>
      </c>
      <c r="Z171" s="5">
        <v>2.0</v>
      </c>
      <c r="AA171" s="5">
        <v>2025.0</v>
      </c>
      <c r="AB171" s="5" t="s">
        <v>2249</v>
      </c>
    </row>
    <row r="172" ht="15.75" customHeight="1">
      <c r="A172" s="4" t="s">
        <v>2254</v>
      </c>
      <c r="B172" s="5" t="s">
        <v>2136</v>
      </c>
      <c r="C172" s="12" t="str">
        <f>"https://" &amp; "letterboxd" &amp; ".com/film/o-ultimo-azul/"</f>
        <v>https://letterboxd.com/film/o-ultimo-azul/</v>
      </c>
      <c r="D172" s="7" t="s">
        <v>2255</v>
      </c>
      <c r="E172" s="5"/>
      <c r="F172" s="5" t="s">
        <v>81</v>
      </c>
      <c r="G172" s="5" t="s">
        <v>2138</v>
      </c>
      <c r="H172" s="5" t="s">
        <v>34</v>
      </c>
      <c r="I172" s="8">
        <v>86.0</v>
      </c>
      <c r="J172" s="9" t="s">
        <v>98</v>
      </c>
      <c r="K172" s="5" t="s">
        <v>2256</v>
      </c>
      <c r="L172" s="5" t="s">
        <v>2257</v>
      </c>
      <c r="M172" s="10" t="s">
        <v>65</v>
      </c>
      <c r="N172" s="10" t="s">
        <v>128</v>
      </c>
      <c r="O172" s="10" t="s">
        <v>129</v>
      </c>
      <c r="P172" s="5" t="s">
        <v>2258</v>
      </c>
      <c r="Q172" s="5"/>
      <c r="R172" s="5"/>
      <c r="S172" s="5"/>
      <c r="T172" s="5"/>
      <c r="U172" s="5"/>
      <c r="V172" s="5"/>
      <c r="W172" s="5" t="s">
        <v>2259</v>
      </c>
      <c r="X172" s="5" t="s">
        <v>2260</v>
      </c>
      <c r="Y172" s="5" t="s">
        <v>2261</v>
      </c>
      <c r="Z172" s="5">
        <v>1.0</v>
      </c>
      <c r="AA172" s="5">
        <v>2025.0</v>
      </c>
      <c r="AB172" s="5" t="s">
        <v>2257</v>
      </c>
    </row>
    <row r="173" ht="15.75" customHeight="1">
      <c r="A173" s="4" t="s">
        <v>2262</v>
      </c>
      <c r="B173" s="5" t="s">
        <v>2136</v>
      </c>
      <c r="C173" s="12" t="str">
        <f>"https://" &amp; "letterboxd" &amp; ".com/film/o-ultimo-episodio/"</f>
        <v>https://letterboxd.com/film/o-ultimo-episodio/</v>
      </c>
      <c r="D173" s="7" t="s">
        <v>2263</v>
      </c>
      <c r="E173" s="5"/>
      <c r="F173" s="5" t="s">
        <v>81</v>
      </c>
      <c r="G173" s="5" t="s">
        <v>2138</v>
      </c>
      <c r="H173" s="5" t="s">
        <v>34</v>
      </c>
      <c r="I173" s="8">
        <v>112.0</v>
      </c>
      <c r="J173" s="9" t="s">
        <v>98</v>
      </c>
      <c r="K173" s="5" t="s">
        <v>2138</v>
      </c>
      <c r="L173" s="5" t="s">
        <v>2264</v>
      </c>
      <c r="M173" s="5"/>
      <c r="N173" s="5"/>
      <c r="O173" s="5"/>
      <c r="P173" s="5" t="s">
        <v>2265</v>
      </c>
      <c r="Q173" s="5"/>
      <c r="R173" s="5"/>
      <c r="S173" s="5"/>
      <c r="T173" s="5"/>
      <c r="U173" s="5"/>
      <c r="V173" s="5"/>
      <c r="W173" s="5" t="s">
        <v>2266</v>
      </c>
      <c r="X173" s="5" t="s">
        <v>2267</v>
      </c>
      <c r="Y173" s="5" t="s">
        <v>2268</v>
      </c>
      <c r="Z173" s="5">
        <v>1.0</v>
      </c>
      <c r="AA173" s="5">
        <v>2025.0</v>
      </c>
      <c r="AB173" s="5" t="s">
        <v>2264</v>
      </c>
    </row>
    <row r="174" ht="15.75" customHeight="1">
      <c r="A174" s="4" t="s">
        <v>2269</v>
      </c>
      <c r="B174" s="5" t="s">
        <v>2136</v>
      </c>
      <c r="C174" s="12" t="str">
        <f>"https://" &amp; "letterboxd" &amp; ".com/film/os-enforcados/"</f>
        <v>https://letterboxd.com/film/os-enforcados/</v>
      </c>
      <c r="D174" s="7" t="s">
        <v>2270</v>
      </c>
      <c r="E174" s="5"/>
      <c r="F174" s="5" t="s">
        <v>81</v>
      </c>
      <c r="G174" s="5" t="s">
        <v>2138</v>
      </c>
      <c r="H174" s="5" t="s">
        <v>34</v>
      </c>
      <c r="I174" s="8">
        <v>123.0</v>
      </c>
      <c r="J174" s="9" t="s">
        <v>1994</v>
      </c>
      <c r="K174" s="5" t="s">
        <v>2138</v>
      </c>
      <c r="L174" s="5" t="s">
        <v>2271</v>
      </c>
      <c r="M174" s="5"/>
      <c r="N174" s="5"/>
      <c r="O174" s="5"/>
      <c r="P174" s="5" t="s">
        <v>2272</v>
      </c>
      <c r="Q174" s="5"/>
      <c r="R174" s="5"/>
      <c r="S174" s="5"/>
      <c r="T174" s="5"/>
      <c r="U174" s="5"/>
      <c r="V174" s="5"/>
      <c r="W174" s="5" t="s">
        <v>2273</v>
      </c>
      <c r="X174" s="5" t="s">
        <v>2274</v>
      </c>
      <c r="Y174" s="5" t="s">
        <v>2275</v>
      </c>
      <c r="Z174" s="5">
        <v>1.0</v>
      </c>
      <c r="AA174" s="5">
        <v>2024.0</v>
      </c>
      <c r="AB174" s="5" t="s">
        <v>2271</v>
      </c>
    </row>
    <row r="175" ht="15.75" customHeight="1">
      <c r="A175" s="4" t="s">
        <v>2276</v>
      </c>
      <c r="B175" s="5" t="s">
        <v>2136</v>
      </c>
      <c r="C175" s="12" t="str">
        <f>"https://" &amp; "letterboxd" &amp; ".com/film/pequenas-criaturas/"</f>
        <v>https://letterboxd.com/film/pequenas-criaturas/</v>
      </c>
      <c r="D175" s="7" t="s">
        <v>2277</v>
      </c>
      <c r="E175" s="5"/>
      <c r="F175" s="5" t="s">
        <v>81</v>
      </c>
      <c r="G175" s="5" t="s">
        <v>2138</v>
      </c>
      <c r="H175" s="5" t="s">
        <v>34</v>
      </c>
      <c r="I175" s="8">
        <v>108.0</v>
      </c>
      <c r="J175" s="9" t="s">
        <v>98</v>
      </c>
      <c r="K175" s="5" t="s">
        <v>2138</v>
      </c>
      <c r="L175" s="5" t="s">
        <v>2163</v>
      </c>
      <c r="M175" s="5"/>
      <c r="N175" s="5"/>
      <c r="O175" s="5"/>
      <c r="P175" s="5" t="s">
        <v>2278</v>
      </c>
      <c r="Q175" s="5"/>
      <c r="R175" s="5"/>
      <c r="S175" s="5"/>
      <c r="T175" s="5"/>
      <c r="U175" s="5"/>
      <c r="V175" s="5"/>
      <c r="W175" s="5" t="s">
        <v>2279</v>
      </c>
      <c r="X175" s="5" t="s">
        <v>2280</v>
      </c>
      <c r="Y175" s="5" t="s">
        <v>2281</v>
      </c>
      <c r="Z175" s="5">
        <v>1.0</v>
      </c>
      <c r="AA175" s="5">
        <v>2025.0</v>
      </c>
      <c r="AB175" s="5" t="s">
        <v>2163</v>
      </c>
    </row>
    <row r="176" ht="15.75" customHeight="1">
      <c r="A176" s="4" t="s">
        <v>2282</v>
      </c>
      <c r="B176" s="5" t="s">
        <v>2136</v>
      </c>
      <c r="C176" s="12" t="s">
        <v>2283</v>
      </c>
      <c r="D176" s="7" t="s">
        <v>2284</v>
      </c>
      <c r="E176" s="5"/>
      <c r="F176" s="5" t="s">
        <v>81</v>
      </c>
      <c r="G176" s="5" t="s">
        <v>2138</v>
      </c>
      <c r="H176" s="5" t="s">
        <v>34</v>
      </c>
      <c r="I176" s="8">
        <v>100.0</v>
      </c>
      <c r="J176" s="9" t="s">
        <v>35</v>
      </c>
      <c r="K176" s="5" t="s">
        <v>2138</v>
      </c>
      <c r="L176" s="5" t="s">
        <v>2285</v>
      </c>
      <c r="M176" s="5"/>
      <c r="N176" s="5"/>
      <c r="O176" s="5"/>
      <c r="P176" s="5" t="s">
        <v>2286</v>
      </c>
      <c r="Q176" s="5"/>
      <c r="R176" s="5"/>
      <c r="S176" s="5"/>
      <c r="T176" s="5"/>
      <c r="U176" s="5"/>
      <c r="V176" s="5"/>
      <c r="W176" s="5" t="s">
        <v>2287</v>
      </c>
      <c r="X176" s="5" t="s">
        <v>2288</v>
      </c>
      <c r="Y176" s="5" t="s">
        <v>2289</v>
      </c>
      <c r="Z176" s="5">
        <v>1.0</v>
      </c>
      <c r="AA176" s="5">
        <v>2026.0</v>
      </c>
      <c r="AB176" s="5" t="s">
        <v>2285</v>
      </c>
    </row>
    <row r="177" ht="15.75" customHeight="1">
      <c r="A177" s="4" t="s">
        <v>2290</v>
      </c>
      <c r="B177" s="5" t="s">
        <v>2136</v>
      </c>
      <c r="C177" s="12" t="s">
        <v>2291</v>
      </c>
      <c r="D177" s="7" t="s">
        <v>2292</v>
      </c>
      <c r="E177" s="5"/>
      <c r="F177" s="5" t="s">
        <v>81</v>
      </c>
      <c r="G177" s="5" t="s">
        <v>2138</v>
      </c>
      <c r="H177" s="5" t="s">
        <v>34</v>
      </c>
      <c r="I177" s="8">
        <v>81.0</v>
      </c>
      <c r="J177" s="9" t="s">
        <v>35</v>
      </c>
      <c r="K177" s="5" t="s">
        <v>2138</v>
      </c>
      <c r="L177" s="5" t="s">
        <v>2293</v>
      </c>
      <c r="M177" s="5"/>
      <c r="N177" s="5"/>
      <c r="O177" s="5"/>
      <c r="P177" s="5" t="s">
        <v>2294</v>
      </c>
      <c r="Q177" s="5"/>
      <c r="R177" s="5"/>
      <c r="S177" s="5"/>
      <c r="T177" s="5"/>
      <c r="U177" s="5"/>
      <c r="V177" s="5"/>
      <c r="W177" s="5" t="s">
        <v>2295</v>
      </c>
      <c r="X177" s="5" t="s">
        <v>2296</v>
      </c>
      <c r="Y177" s="5" t="s">
        <v>2297</v>
      </c>
      <c r="Z177" s="5">
        <v>1.0</v>
      </c>
      <c r="AA177" s="5">
        <v>2026.0</v>
      </c>
      <c r="AB177" s="5" t="s">
        <v>2293</v>
      </c>
    </row>
    <row r="178" ht="15.75" customHeight="1">
      <c r="A178" s="4" t="s">
        <v>2298</v>
      </c>
      <c r="B178" s="5" t="s">
        <v>2136</v>
      </c>
      <c r="C178" s="12" t="str">
        <f>"https://" &amp; "letterboxd" &amp; ".com/film/ritas/"</f>
        <v>https://letterboxd.com/film/ritas/</v>
      </c>
      <c r="D178" s="7" t="s">
        <v>2299</v>
      </c>
      <c r="E178" s="5"/>
      <c r="F178" s="5" t="s">
        <v>81</v>
      </c>
      <c r="G178" s="5" t="s">
        <v>2138</v>
      </c>
      <c r="H178" s="5" t="s">
        <v>83</v>
      </c>
      <c r="I178" s="8">
        <v>83.0</v>
      </c>
      <c r="J178" s="9" t="s">
        <v>98</v>
      </c>
      <c r="K178" s="5" t="s">
        <v>2138</v>
      </c>
      <c r="L178" s="5" t="s">
        <v>2172</v>
      </c>
      <c r="M178" s="5"/>
      <c r="N178" s="5"/>
      <c r="O178" s="5"/>
      <c r="P178" s="5" t="s">
        <v>2300</v>
      </c>
      <c r="Q178" s="5"/>
      <c r="R178" s="5"/>
      <c r="S178" s="5"/>
      <c r="T178" s="5"/>
      <c r="U178" s="5"/>
      <c r="V178" s="5"/>
      <c r="W178" s="5" t="s">
        <v>2301</v>
      </c>
      <c r="X178" s="5" t="s">
        <v>2302</v>
      </c>
      <c r="Y178" s="5" t="s">
        <v>2303</v>
      </c>
      <c r="Z178" s="5">
        <v>2.0</v>
      </c>
      <c r="AA178" s="5">
        <v>2025.0</v>
      </c>
      <c r="AB178" s="5" t="s">
        <v>2172</v>
      </c>
    </row>
    <row r="179" ht="15.75" customHeight="1">
      <c r="A179" s="4" t="s">
        <v>2304</v>
      </c>
      <c r="B179" s="5" t="s">
        <v>2136</v>
      </c>
      <c r="C179" s="12" t="s">
        <v>2305</v>
      </c>
      <c r="D179" s="7" t="s">
        <v>2306</v>
      </c>
      <c r="E179" s="5"/>
      <c r="F179" s="5" t="s">
        <v>81</v>
      </c>
      <c r="G179" s="5" t="s">
        <v>2138</v>
      </c>
      <c r="H179" s="5" t="s">
        <v>34</v>
      </c>
      <c r="I179" s="8">
        <v>95.0</v>
      </c>
      <c r="J179" s="9" t="s">
        <v>98</v>
      </c>
      <c r="K179" s="5" t="s">
        <v>2138</v>
      </c>
      <c r="L179" s="5" t="s">
        <v>2307</v>
      </c>
      <c r="M179" s="5"/>
      <c r="N179" s="5"/>
      <c r="O179" s="5"/>
      <c r="P179" s="5" t="s">
        <v>2308</v>
      </c>
      <c r="Q179" s="5"/>
      <c r="R179" s="5"/>
      <c r="S179" s="5"/>
      <c r="T179" s="5"/>
      <c r="U179" s="5"/>
      <c r="V179" s="5"/>
      <c r="W179" s="5" t="s">
        <v>2309</v>
      </c>
      <c r="X179" s="5" t="s">
        <v>2310</v>
      </c>
      <c r="Y179" s="5" t="s">
        <v>2311</v>
      </c>
      <c r="Z179" s="5">
        <v>2.0</v>
      </c>
      <c r="AA179" s="5">
        <v>2025.0</v>
      </c>
      <c r="AB179" s="5" t="s">
        <v>2307</v>
      </c>
    </row>
    <row r="180" ht="15.75" customHeight="1">
      <c r="A180" s="4" t="s">
        <v>2312</v>
      </c>
      <c r="B180" s="5" t="s">
        <v>2136</v>
      </c>
      <c r="C180" s="12" t="s">
        <v>2313</v>
      </c>
      <c r="D180" s="7" t="s">
        <v>2314</v>
      </c>
      <c r="E180" s="5"/>
      <c r="F180" s="5" t="s">
        <v>81</v>
      </c>
      <c r="G180" s="5" t="s">
        <v>2138</v>
      </c>
      <c r="H180" s="5" t="s">
        <v>34</v>
      </c>
      <c r="I180" s="8">
        <v>90.0</v>
      </c>
      <c r="J180" s="9" t="s">
        <v>1994</v>
      </c>
      <c r="K180" s="5" t="s">
        <v>2138</v>
      </c>
      <c r="L180" s="5" t="s">
        <v>2315</v>
      </c>
      <c r="M180" s="5"/>
      <c r="N180" s="5"/>
      <c r="O180" s="5"/>
      <c r="P180" s="5" t="s">
        <v>2316</v>
      </c>
      <c r="Q180" s="5"/>
      <c r="R180" s="5"/>
      <c r="S180" s="5"/>
      <c r="T180" s="5"/>
      <c r="U180" s="5"/>
      <c r="V180" s="5"/>
      <c r="W180" s="5" t="s">
        <v>2317</v>
      </c>
      <c r="X180" s="5" t="s">
        <v>2318</v>
      </c>
      <c r="Y180" s="5" t="s">
        <v>2319</v>
      </c>
      <c r="Z180" s="5">
        <v>4.0</v>
      </c>
      <c r="AA180" s="5">
        <v>2024.0</v>
      </c>
      <c r="AB180" s="5" t="s">
        <v>2315</v>
      </c>
    </row>
    <row r="181" ht="15.75" customHeight="1">
      <c r="A181" s="4" t="s">
        <v>2320</v>
      </c>
      <c r="B181" s="5" t="s">
        <v>2136</v>
      </c>
      <c r="C181" s="12" t="str">
        <f>"https://" &amp; "letterboxd" &amp; ".com/film/taina-e-os-guardioes-da-amazonia-em-busca-da-flecha-azul/"</f>
        <v>https://letterboxd.com/film/taina-e-os-guardioes-da-amazonia-em-busca-da-flecha-azul/</v>
      </c>
      <c r="D181" s="7" t="s">
        <v>2321</v>
      </c>
      <c r="E181" s="5"/>
      <c r="F181" s="5" t="s">
        <v>81</v>
      </c>
      <c r="G181" s="5" t="s">
        <v>2138</v>
      </c>
      <c r="H181" s="5" t="s">
        <v>795</v>
      </c>
      <c r="I181" s="8">
        <v>78.0</v>
      </c>
      <c r="J181" s="9" t="s">
        <v>98</v>
      </c>
      <c r="K181" s="5" t="s">
        <v>2138</v>
      </c>
      <c r="L181" s="5" t="s">
        <v>2322</v>
      </c>
      <c r="M181" s="5"/>
      <c r="N181" s="5"/>
      <c r="O181" s="5"/>
      <c r="P181" s="5" t="s">
        <v>2323</v>
      </c>
      <c r="Q181" s="5"/>
      <c r="R181" s="5"/>
      <c r="S181" s="5"/>
      <c r="T181" s="5"/>
      <c r="U181" s="5"/>
      <c r="V181" s="5"/>
      <c r="W181" s="5" t="s">
        <v>2324</v>
      </c>
      <c r="X181" s="5" t="s">
        <v>2325</v>
      </c>
      <c r="Y181" s="5" t="s">
        <v>2326</v>
      </c>
      <c r="Z181" s="5">
        <v>4.0</v>
      </c>
      <c r="AA181" s="5">
        <v>2025.0</v>
      </c>
      <c r="AB181" s="5" t="s">
        <v>2322</v>
      </c>
    </row>
    <row r="182" ht="15.75" customHeight="1">
      <c r="A182" s="4" t="s">
        <v>2327</v>
      </c>
      <c r="B182" s="5" t="s">
        <v>2136</v>
      </c>
      <c r="C182" s="12" t="s">
        <v>2328</v>
      </c>
      <c r="D182" s="7" t="s">
        <v>2329</v>
      </c>
      <c r="E182" s="5"/>
      <c r="F182" s="5" t="s">
        <v>81</v>
      </c>
      <c r="G182" s="5" t="s">
        <v>2138</v>
      </c>
      <c r="H182" s="5" t="s">
        <v>83</v>
      </c>
      <c r="I182" s="8">
        <v>97.0</v>
      </c>
      <c r="J182" s="9" t="s">
        <v>2330</v>
      </c>
      <c r="K182" s="5" t="s">
        <v>2138</v>
      </c>
      <c r="L182" s="5" t="s">
        <v>2331</v>
      </c>
      <c r="M182" s="5"/>
      <c r="N182" s="5"/>
      <c r="O182" s="5"/>
      <c r="P182" s="5" t="s">
        <v>2308</v>
      </c>
      <c r="Q182" s="5"/>
      <c r="R182" s="5"/>
      <c r="S182" s="5"/>
      <c r="T182" s="5"/>
      <c r="U182" s="5"/>
      <c r="V182" s="5"/>
      <c r="W182" s="5" t="s">
        <v>2332</v>
      </c>
      <c r="X182" s="5" t="s">
        <v>2333</v>
      </c>
      <c r="Y182" s="5" t="s">
        <v>2334</v>
      </c>
      <c r="Z182" s="5">
        <v>1.0</v>
      </c>
      <c r="AA182" s="5">
        <v>2018.0</v>
      </c>
      <c r="AB182" s="5" t="s">
        <v>2331</v>
      </c>
    </row>
    <row r="183" ht="15.75" customHeight="1">
      <c r="A183" s="4" t="s">
        <v>2335</v>
      </c>
      <c r="B183" s="5" t="s">
        <v>2136</v>
      </c>
      <c r="C183" s="12" t="s">
        <v>2336</v>
      </c>
      <c r="D183" s="7" t="s">
        <v>2337</v>
      </c>
      <c r="E183" s="5"/>
      <c r="F183" s="5" t="s">
        <v>81</v>
      </c>
      <c r="G183" s="5" t="s">
        <v>2138</v>
      </c>
      <c r="H183" s="5" t="s">
        <v>34</v>
      </c>
      <c r="I183" s="8">
        <v>93.0</v>
      </c>
      <c r="J183" s="9" t="s">
        <v>2162</v>
      </c>
      <c r="K183" s="5" t="s">
        <v>2138</v>
      </c>
      <c r="L183" s="5" t="s">
        <v>2338</v>
      </c>
      <c r="M183" s="5"/>
      <c r="N183" s="5"/>
      <c r="O183" s="5"/>
      <c r="P183" s="5" t="s">
        <v>2339</v>
      </c>
      <c r="Q183" s="5"/>
      <c r="R183" s="5"/>
      <c r="S183" s="5"/>
      <c r="T183" s="5"/>
      <c r="U183" s="5"/>
      <c r="V183" s="5"/>
      <c r="W183" s="5" t="s">
        <v>2340</v>
      </c>
      <c r="X183" s="5" t="s">
        <v>2341</v>
      </c>
      <c r="Y183" s="5" t="s">
        <v>2342</v>
      </c>
      <c r="Z183" s="5">
        <v>3.0</v>
      </c>
      <c r="AA183" s="5">
        <v>2021.0</v>
      </c>
      <c r="AB183" s="5" t="s">
        <v>2338</v>
      </c>
    </row>
    <row r="184" ht="15.75" customHeight="1">
      <c r="A184" s="4" t="s">
        <v>2343</v>
      </c>
      <c r="B184" s="5" t="s">
        <v>2136</v>
      </c>
      <c r="C184" s="12" t="s">
        <v>2344</v>
      </c>
      <c r="D184" s="7" t="s">
        <v>2345</v>
      </c>
      <c r="E184" s="5"/>
      <c r="F184" s="5" t="s">
        <v>81</v>
      </c>
      <c r="G184" s="5" t="s">
        <v>2138</v>
      </c>
      <c r="H184" s="5" t="s">
        <v>34</v>
      </c>
      <c r="I184" s="8">
        <v>94.0</v>
      </c>
      <c r="J184" s="9" t="s">
        <v>35</v>
      </c>
      <c r="K184" s="5" t="s">
        <v>2138</v>
      </c>
      <c r="L184" s="5" t="s">
        <v>2346</v>
      </c>
      <c r="M184" s="5"/>
      <c r="N184" s="5"/>
      <c r="O184" s="5"/>
      <c r="P184" s="5" t="s">
        <v>2347</v>
      </c>
      <c r="Q184" s="5"/>
      <c r="R184" s="5"/>
      <c r="S184" s="5"/>
      <c r="T184" s="5"/>
      <c r="U184" s="5"/>
      <c r="V184" s="5"/>
      <c r="W184" s="5" t="s">
        <v>2348</v>
      </c>
      <c r="X184" s="5" t="s">
        <v>2349</v>
      </c>
      <c r="Y184" s="5" t="s">
        <v>2350</v>
      </c>
      <c r="Z184" s="5">
        <v>4.0</v>
      </c>
      <c r="AA184" s="5">
        <v>2026.0</v>
      </c>
      <c r="AB184" s="5" t="s">
        <v>2346</v>
      </c>
    </row>
    <row r="185" ht="15.75" customHeight="1">
      <c r="A185" s="4" t="s">
        <v>2351</v>
      </c>
      <c r="B185" s="5" t="s">
        <v>2136</v>
      </c>
      <c r="C185" s="12" t="s">
        <v>2352</v>
      </c>
      <c r="D185" s="7" t="s">
        <v>2353</v>
      </c>
      <c r="E185" s="5"/>
      <c r="F185" s="5" t="s">
        <v>81</v>
      </c>
      <c r="G185" s="5" t="s">
        <v>2138</v>
      </c>
      <c r="H185" s="5" t="s">
        <v>34</v>
      </c>
      <c r="I185" s="8">
        <v>113.0</v>
      </c>
      <c r="J185" s="9" t="s">
        <v>98</v>
      </c>
      <c r="K185" s="5" t="s">
        <v>2138</v>
      </c>
      <c r="L185" s="5" t="s">
        <v>2354</v>
      </c>
      <c r="M185" s="5"/>
      <c r="N185" s="5"/>
      <c r="O185" s="5"/>
      <c r="P185" s="5" t="s">
        <v>2355</v>
      </c>
      <c r="Q185" s="5"/>
      <c r="R185" s="5"/>
      <c r="S185" s="5"/>
      <c r="T185" s="5"/>
      <c r="U185" s="5"/>
      <c r="V185" s="5"/>
      <c r="W185" s="5" t="s">
        <v>2356</v>
      </c>
      <c r="X185" s="5" t="s">
        <v>2357</v>
      </c>
      <c r="Y185" s="5" t="s">
        <v>2358</v>
      </c>
      <c r="Z185" s="5">
        <v>2.0</v>
      </c>
      <c r="AA185" s="5">
        <v>2025.0</v>
      </c>
      <c r="AB185" s="5" t="s">
        <v>2354</v>
      </c>
    </row>
    <row r="186" ht="15.75" customHeight="1">
      <c r="A186" s="4" t="s">
        <v>2359</v>
      </c>
      <c r="B186" s="5" t="s">
        <v>2136</v>
      </c>
      <c r="C186" s="12" t="str">
        <f>"https://" &amp; "letterboxd" &amp; ".com/film/xica-da-silva/"</f>
        <v>https://letterboxd.com/film/xica-da-silva/</v>
      </c>
      <c r="D186" s="7" t="s">
        <v>2360</v>
      </c>
      <c r="E186" s="5"/>
      <c r="F186" s="5" t="s">
        <v>81</v>
      </c>
      <c r="G186" s="5" t="s">
        <v>2138</v>
      </c>
      <c r="H186" s="5" t="s">
        <v>34</v>
      </c>
      <c r="I186" s="8">
        <v>107.0</v>
      </c>
      <c r="J186" s="9" t="s">
        <v>2361</v>
      </c>
      <c r="K186" s="5" t="s">
        <v>2138</v>
      </c>
      <c r="L186" s="5" t="s">
        <v>2362</v>
      </c>
      <c r="M186" s="5"/>
      <c r="N186" s="5"/>
      <c r="O186" s="5"/>
      <c r="P186" s="5" t="s">
        <v>2363</v>
      </c>
      <c r="Q186" s="5"/>
      <c r="R186" s="5"/>
      <c r="S186" s="5"/>
      <c r="T186" s="5"/>
      <c r="U186" s="5"/>
      <c r="V186" s="5"/>
      <c r="W186" s="5" t="s">
        <v>2364</v>
      </c>
      <c r="X186" s="5" t="s">
        <v>2365</v>
      </c>
      <c r="Y186" s="5" t="s">
        <v>2366</v>
      </c>
      <c r="Z186" s="5">
        <v>2.0</v>
      </c>
      <c r="AA186" s="5">
        <v>1976.0</v>
      </c>
      <c r="AB186" s="5" t="s">
        <v>2362</v>
      </c>
    </row>
    <row r="187" ht="15.75" customHeight="1">
      <c r="A187" s="4" t="s">
        <v>2367</v>
      </c>
      <c r="B187" s="5" t="s">
        <v>2368</v>
      </c>
      <c r="C187" s="12" t="s">
        <v>2369</v>
      </c>
      <c r="D187" s="7" t="s">
        <v>2370</v>
      </c>
      <c r="E187" s="5" t="s">
        <v>2371</v>
      </c>
      <c r="F187" s="5" t="s">
        <v>32</v>
      </c>
      <c r="G187" s="5" t="s">
        <v>289</v>
      </c>
      <c r="H187" s="5" t="s">
        <v>34</v>
      </c>
      <c r="I187" s="8">
        <v>81.0</v>
      </c>
      <c r="J187" s="9" t="s">
        <v>2372</v>
      </c>
      <c r="K187" s="5" t="s">
        <v>289</v>
      </c>
      <c r="L187" s="5" t="s">
        <v>34</v>
      </c>
      <c r="M187" s="5"/>
      <c r="N187" s="5"/>
      <c r="O187" s="5"/>
      <c r="P187" s="5" t="s">
        <v>2373</v>
      </c>
      <c r="Q187" s="5" t="s">
        <v>2373</v>
      </c>
      <c r="R187" s="5" t="s">
        <v>2374</v>
      </c>
      <c r="S187" s="5" t="s">
        <v>2373</v>
      </c>
      <c r="T187" s="5" t="s">
        <v>2375</v>
      </c>
      <c r="U187" s="5" t="s">
        <v>2376</v>
      </c>
      <c r="V187" s="5" t="s">
        <v>2377</v>
      </c>
      <c r="W187" s="5" t="s">
        <v>2378</v>
      </c>
      <c r="X187" s="5" t="s">
        <v>2379</v>
      </c>
      <c r="Y187" s="5" t="s">
        <v>2380</v>
      </c>
      <c r="Z187" s="5">
        <v>3.0</v>
      </c>
      <c r="AA187" s="5">
        <v>1970.0</v>
      </c>
      <c r="AB187" s="5" t="s">
        <v>34</v>
      </c>
    </row>
    <row r="188" ht="15.75" customHeight="1">
      <c r="A188" s="4" t="s">
        <v>2381</v>
      </c>
      <c r="B188" s="5" t="s">
        <v>2368</v>
      </c>
      <c r="C188" s="12" t="s">
        <v>2382</v>
      </c>
      <c r="D188" s="7" t="s">
        <v>2383</v>
      </c>
      <c r="E188" s="5" t="s">
        <v>2384</v>
      </c>
      <c r="F188" s="5" t="s">
        <v>32</v>
      </c>
      <c r="G188" s="5" t="s">
        <v>418</v>
      </c>
      <c r="H188" s="5" t="s">
        <v>34</v>
      </c>
      <c r="I188" s="8">
        <v>106.0</v>
      </c>
      <c r="J188" s="9" t="s">
        <v>2385</v>
      </c>
      <c r="K188" s="5" t="s">
        <v>888</v>
      </c>
      <c r="L188" s="5" t="s">
        <v>34</v>
      </c>
      <c r="M188" s="5"/>
      <c r="N188" s="5"/>
      <c r="O188" s="5"/>
      <c r="P188" s="5" t="s">
        <v>2386</v>
      </c>
      <c r="Q188" s="5" t="s">
        <v>2387</v>
      </c>
      <c r="R188" s="5" t="s">
        <v>2388</v>
      </c>
      <c r="S188" s="5" t="s">
        <v>2389</v>
      </c>
      <c r="T188" s="5" t="s">
        <v>2390</v>
      </c>
      <c r="U188" s="5" t="s">
        <v>2391</v>
      </c>
      <c r="V188" s="5" t="s">
        <v>2392</v>
      </c>
      <c r="W188" s="5" t="s">
        <v>2393</v>
      </c>
      <c r="X188" s="5" t="s">
        <v>2394</v>
      </c>
      <c r="Y188" s="5" t="s">
        <v>2395</v>
      </c>
      <c r="Z188" s="5">
        <v>3.0</v>
      </c>
      <c r="AA188" s="5">
        <v>1969.0</v>
      </c>
      <c r="AB188" s="5" t="s">
        <v>34</v>
      </c>
    </row>
    <row r="189" ht="15.75" customHeight="1">
      <c r="A189" s="4" t="s">
        <v>2396</v>
      </c>
      <c r="B189" s="5" t="s">
        <v>2368</v>
      </c>
      <c r="C189" s="12" t="s">
        <v>2397</v>
      </c>
      <c r="D189" s="7" t="s">
        <v>2398</v>
      </c>
      <c r="E189" s="5" t="s">
        <v>2399</v>
      </c>
      <c r="F189" s="5" t="s">
        <v>32</v>
      </c>
      <c r="G189" s="5" t="s">
        <v>2400</v>
      </c>
      <c r="H189" s="5" t="s">
        <v>34</v>
      </c>
      <c r="I189" s="8">
        <v>110.0</v>
      </c>
      <c r="J189" s="9" t="s">
        <v>2401</v>
      </c>
      <c r="K189" s="5" t="s">
        <v>2400</v>
      </c>
      <c r="L189" s="5" t="s">
        <v>34</v>
      </c>
      <c r="M189" s="5"/>
      <c r="N189" s="5"/>
      <c r="O189" s="5"/>
      <c r="P189" s="5" t="s">
        <v>2402</v>
      </c>
      <c r="Q189" s="5" t="s">
        <v>2402</v>
      </c>
      <c r="R189" s="5" t="s">
        <v>2403</v>
      </c>
      <c r="S189" s="5"/>
      <c r="T189" s="5" t="s">
        <v>2404</v>
      </c>
      <c r="U189" s="5" t="s">
        <v>2405</v>
      </c>
      <c r="V189" s="5"/>
      <c r="W189" s="5" t="s">
        <v>2406</v>
      </c>
      <c r="X189" s="5" t="s">
        <v>2407</v>
      </c>
      <c r="Y189" s="5" t="s">
        <v>2408</v>
      </c>
      <c r="Z189" s="5">
        <v>3.0</v>
      </c>
      <c r="AA189" s="5">
        <v>1993.0</v>
      </c>
      <c r="AB189" s="5" t="s">
        <v>34</v>
      </c>
    </row>
    <row r="190" ht="15.75" customHeight="1">
      <c r="A190" s="4" t="s">
        <v>2409</v>
      </c>
      <c r="B190" s="5" t="s">
        <v>2368</v>
      </c>
      <c r="C190" s="12" t="s">
        <v>2410</v>
      </c>
      <c r="D190" s="7" t="s">
        <v>2411</v>
      </c>
      <c r="E190" s="5" t="s">
        <v>2412</v>
      </c>
      <c r="F190" s="5" t="s">
        <v>32</v>
      </c>
      <c r="G190" s="5" t="s">
        <v>64</v>
      </c>
      <c r="H190" s="5" t="s">
        <v>34</v>
      </c>
      <c r="I190" s="8">
        <v>95.0</v>
      </c>
      <c r="J190" s="9" t="s">
        <v>2413</v>
      </c>
      <c r="K190" s="5" t="s">
        <v>64</v>
      </c>
      <c r="L190" s="5" t="s">
        <v>34</v>
      </c>
      <c r="M190" s="5"/>
      <c r="N190" s="5"/>
      <c r="O190" s="5"/>
      <c r="P190" s="5" t="s">
        <v>2414</v>
      </c>
      <c r="Q190" s="5" t="s">
        <v>2415</v>
      </c>
      <c r="R190" s="5"/>
      <c r="S190" s="5"/>
      <c r="T190" s="5" t="s">
        <v>2416</v>
      </c>
      <c r="U190" s="5"/>
      <c r="V190" s="5"/>
      <c r="W190" s="5" t="s">
        <v>2417</v>
      </c>
      <c r="X190" s="5" t="s">
        <v>2418</v>
      </c>
      <c r="Y190" s="5" t="s">
        <v>2419</v>
      </c>
      <c r="Z190" s="5">
        <v>2.0</v>
      </c>
      <c r="AA190" s="5">
        <v>1971.0</v>
      </c>
      <c r="AB190" s="5" t="s">
        <v>34</v>
      </c>
    </row>
    <row r="191" ht="15.75" customHeight="1">
      <c r="A191" s="4" t="s">
        <v>2420</v>
      </c>
      <c r="B191" s="5" t="s">
        <v>2368</v>
      </c>
      <c r="C191" s="12" t="s">
        <v>2421</v>
      </c>
      <c r="D191" s="7" t="s">
        <v>2422</v>
      </c>
      <c r="E191" s="5" t="s">
        <v>2423</v>
      </c>
      <c r="F191" s="5" t="s">
        <v>32</v>
      </c>
      <c r="G191" s="5" t="s">
        <v>289</v>
      </c>
      <c r="H191" s="5" t="s">
        <v>83</v>
      </c>
      <c r="I191" s="8">
        <v>89.0</v>
      </c>
      <c r="J191" s="9" t="s">
        <v>2424</v>
      </c>
      <c r="K191" s="5" t="s">
        <v>289</v>
      </c>
      <c r="L191" s="5" t="s">
        <v>83</v>
      </c>
      <c r="M191" s="5"/>
      <c r="N191" s="5"/>
      <c r="O191" s="5"/>
      <c r="P191" s="5" t="s">
        <v>2373</v>
      </c>
      <c r="Q191" s="5" t="s">
        <v>2425</v>
      </c>
      <c r="R191" s="5"/>
      <c r="S191" s="5" t="s">
        <v>2426</v>
      </c>
      <c r="T191" s="5" t="s">
        <v>2427</v>
      </c>
      <c r="U191" s="5" t="s">
        <v>2428</v>
      </c>
      <c r="V191" s="5"/>
      <c r="W191" s="5" t="s">
        <v>2429</v>
      </c>
      <c r="X191" s="5" t="s">
        <v>2430</v>
      </c>
      <c r="Y191" s="5" t="s">
        <v>2431</v>
      </c>
      <c r="Z191" s="5">
        <v>3.0</v>
      </c>
      <c r="AA191" s="5">
        <v>2015.0</v>
      </c>
      <c r="AB191" s="5" t="s">
        <v>83</v>
      </c>
    </row>
    <row r="192" ht="15.75" customHeight="1">
      <c r="A192" s="4" t="s">
        <v>2432</v>
      </c>
      <c r="B192" s="5" t="s">
        <v>2368</v>
      </c>
      <c r="C192" s="12" t="s">
        <v>2433</v>
      </c>
      <c r="D192" s="7" t="s">
        <v>2434</v>
      </c>
      <c r="E192" s="5" t="s">
        <v>2435</v>
      </c>
      <c r="F192" s="5" t="s">
        <v>2146</v>
      </c>
      <c r="G192" s="5" t="s">
        <v>289</v>
      </c>
      <c r="H192" s="5" t="s">
        <v>83</v>
      </c>
      <c r="I192" s="8">
        <v>19.0</v>
      </c>
      <c r="J192" s="9" t="s">
        <v>2436</v>
      </c>
      <c r="K192" s="5" t="s">
        <v>289</v>
      </c>
      <c r="L192" s="5" t="s">
        <v>83</v>
      </c>
      <c r="M192" s="5"/>
      <c r="N192" s="5"/>
      <c r="O192" s="5"/>
      <c r="P192" s="5" t="s">
        <v>2437</v>
      </c>
      <c r="Q192" s="5" t="s">
        <v>2437</v>
      </c>
      <c r="R192" s="5" t="s">
        <v>2438</v>
      </c>
      <c r="S192" s="5" t="s">
        <v>2439</v>
      </c>
      <c r="T192" s="5" t="s">
        <v>2440</v>
      </c>
      <c r="U192" s="5" t="s">
        <v>2441</v>
      </c>
      <c r="V192" s="5"/>
      <c r="W192" s="5"/>
      <c r="X192" s="5" t="s">
        <v>2442</v>
      </c>
      <c r="Y192" s="5" t="s">
        <v>2443</v>
      </c>
      <c r="Z192" s="5">
        <v>2.0</v>
      </c>
      <c r="AA192" s="5">
        <v>1982.0</v>
      </c>
      <c r="AB192" s="5" t="s">
        <v>83</v>
      </c>
    </row>
    <row r="193" ht="15.75" customHeight="1">
      <c r="A193" s="4" t="s">
        <v>2444</v>
      </c>
      <c r="B193" s="5" t="s">
        <v>2368</v>
      </c>
      <c r="C193" s="12" t="s">
        <v>2445</v>
      </c>
      <c r="D193" s="7" t="s">
        <v>2446</v>
      </c>
      <c r="E193" s="5"/>
      <c r="F193" s="5" t="s">
        <v>81</v>
      </c>
      <c r="G193" s="5" t="s">
        <v>2138</v>
      </c>
      <c r="H193" s="5" t="s">
        <v>83</v>
      </c>
      <c r="I193" s="8">
        <v>60.0</v>
      </c>
      <c r="J193" s="9" t="s">
        <v>2139</v>
      </c>
      <c r="K193" s="5" t="s">
        <v>2140</v>
      </c>
      <c r="L193" s="5" t="s">
        <v>83</v>
      </c>
      <c r="M193" s="5"/>
      <c r="N193" s="5"/>
      <c r="O193" s="5"/>
      <c r="P193" s="5" t="s">
        <v>2447</v>
      </c>
      <c r="Q193" s="5"/>
      <c r="R193" s="5"/>
      <c r="S193" s="5"/>
      <c r="T193" s="5"/>
      <c r="U193" s="5"/>
      <c r="V193" s="5"/>
      <c r="W193" s="5"/>
      <c r="X193" s="5" t="s">
        <v>2448</v>
      </c>
      <c r="Y193" s="5" t="s">
        <v>2449</v>
      </c>
      <c r="Z193" s="5">
        <v>3.0</v>
      </c>
      <c r="AA193" s="5" t="s">
        <v>2139</v>
      </c>
      <c r="AB193" s="5" t="s">
        <v>83</v>
      </c>
    </row>
    <row r="194" ht="15.75" customHeight="1">
      <c r="A194" s="4" t="s">
        <v>2450</v>
      </c>
      <c r="B194" s="5" t="s">
        <v>2368</v>
      </c>
      <c r="C194" s="12" t="s">
        <v>2445</v>
      </c>
      <c r="D194" s="7" t="s">
        <v>2451</v>
      </c>
      <c r="E194" s="5"/>
      <c r="F194" s="5" t="s">
        <v>81</v>
      </c>
      <c r="G194" s="5" t="s">
        <v>2138</v>
      </c>
      <c r="H194" s="5" t="s">
        <v>83</v>
      </c>
      <c r="I194" s="8">
        <v>59.0</v>
      </c>
      <c r="J194" s="9" t="s">
        <v>2139</v>
      </c>
      <c r="K194" s="5" t="s">
        <v>2140</v>
      </c>
      <c r="L194" s="5" t="s">
        <v>83</v>
      </c>
      <c r="M194" s="5"/>
      <c r="N194" s="5"/>
      <c r="O194" s="5"/>
      <c r="P194" s="5" t="s">
        <v>2447</v>
      </c>
      <c r="Q194" s="5"/>
      <c r="R194" s="5"/>
      <c r="S194" s="5"/>
      <c r="T194" s="5"/>
      <c r="U194" s="5"/>
      <c r="V194" s="5"/>
      <c r="W194" s="5"/>
      <c r="X194" s="5" t="s">
        <v>2452</v>
      </c>
      <c r="Y194" s="5" t="s">
        <v>2453</v>
      </c>
      <c r="Z194" s="5">
        <v>3.0</v>
      </c>
      <c r="AA194" s="5" t="s">
        <v>2139</v>
      </c>
      <c r="AB194" s="5" t="s">
        <v>83</v>
      </c>
    </row>
    <row r="195" ht="15.75" customHeight="1">
      <c r="A195" s="4" t="s">
        <v>2454</v>
      </c>
      <c r="B195" s="5" t="s">
        <v>2368</v>
      </c>
      <c r="C195" s="12" t="s">
        <v>2445</v>
      </c>
      <c r="D195" s="7" t="s">
        <v>2455</v>
      </c>
      <c r="E195" s="5"/>
      <c r="F195" s="5" t="s">
        <v>81</v>
      </c>
      <c r="G195" s="5" t="s">
        <v>2138</v>
      </c>
      <c r="H195" s="5" t="s">
        <v>83</v>
      </c>
      <c r="I195" s="8">
        <v>58.0</v>
      </c>
      <c r="J195" s="9" t="s">
        <v>2139</v>
      </c>
      <c r="K195" s="5" t="s">
        <v>2140</v>
      </c>
      <c r="L195" s="5" t="s">
        <v>83</v>
      </c>
      <c r="M195" s="5"/>
      <c r="N195" s="5"/>
      <c r="O195" s="5"/>
      <c r="P195" s="5" t="s">
        <v>2447</v>
      </c>
      <c r="Q195" s="5"/>
      <c r="R195" s="5"/>
      <c r="S195" s="5"/>
      <c r="T195" s="5"/>
      <c r="U195" s="5"/>
      <c r="V195" s="5"/>
      <c r="W195" s="5"/>
      <c r="X195" s="5" t="s">
        <v>2456</v>
      </c>
      <c r="Y195" s="5" t="s">
        <v>2457</v>
      </c>
      <c r="Z195" s="5">
        <v>3.0</v>
      </c>
      <c r="AA195" s="5" t="s">
        <v>2139</v>
      </c>
      <c r="AB195" s="5" t="s">
        <v>83</v>
      </c>
    </row>
    <row r="196" ht="15.75" customHeight="1">
      <c r="A196" s="4" t="s">
        <v>2458</v>
      </c>
      <c r="B196" s="5" t="s">
        <v>2368</v>
      </c>
      <c r="C196" s="12" t="s">
        <v>2459</v>
      </c>
      <c r="D196" s="7" t="s">
        <v>2460</v>
      </c>
      <c r="E196" s="5"/>
      <c r="F196" s="5" t="s">
        <v>81</v>
      </c>
      <c r="G196" s="5" t="s">
        <v>2138</v>
      </c>
      <c r="H196" s="5" t="s">
        <v>83</v>
      </c>
      <c r="I196" s="8">
        <v>64.0</v>
      </c>
      <c r="J196" s="9" t="s">
        <v>2139</v>
      </c>
      <c r="K196" s="5" t="s">
        <v>2140</v>
      </c>
      <c r="L196" s="5" t="s">
        <v>83</v>
      </c>
      <c r="M196" s="5"/>
      <c r="N196" s="5"/>
      <c r="O196" s="5"/>
      <c r="P196" s="5" t="s">
        <v>2447</v>
      </c>
      <c r="Q196" s="5"/>
      <c r="R196" s="5"/>
      <c r="S196" s="5"/>
      <c r="T196" s="5"/>
      <c r="U196" s="5"/>
      <c r="V196" s="5"/>
      <c r="W196" s="5"/>
      <c r="X196" s="5" t="s">
        <v>2461</v>
      </c>
      <c r="Y196" s="5" t="s">
        <v>2462</v>
      </c>
      <c r="Z196" s="5">
        <v>3.0</v>
      </c>
      <c r="AA196" s="5" t="s">
        <v>2139</v>
      </c>
      <c r="AB196" s="5" t="s">
        <v>83</v>
      </c>
    </row>
    <row r="197" ht="15.75" customHeight="1">
      <c r="A197" s="4" t="s">
        <v>2463</v>
      </c>
      <c r="B197" s="5" t="s">
        <v>2368</v>
      </c>
      <c r="C197" s="12" t="s">
        <v>2445</v>
      </c>
      <c r="D197" s="7" t="s">
        <v>2464</v>
      </c>
      <c r="E197" s="5"/>
      <c r="F197" s="5" t="s">
        <v>81</v>
      </c>
      <c r="G197" s="5" t="s">
        <v>2138</v>
      </c>
      <c r="H197" s="5" t="s">
        <v>83</v>
      </c>
      <c r="I197" s="8">
        <v>60.0</v>
      </c>
      <c r="J197" s="9" t="s">
        <v>2139</v>
      </c>
      <c r="K197" s="5" t="s">
        <v>2140</v>
      </c>
      <c r="L197" s="5" t="s">
        <v>83</v>
      </c>
      <c r="M197" s="5"/>
      <c r="N197" s="5"/>
      <c r="O197" s="5"/>
      <c r="P197" s="5" t="s">
        <v>2447</v>
      </c>
      <c r="Q197" s="5"/>
      <c r="R197" s="5"/>
      <c r="S197" s="5"/>
      <c r="T197" s="5"/>
      <c r="U197" s="5"/>
      <c r="V197" s="5"/>
      <c r="W197" s="5"/>
      <c r="X197" s="5" t="s">
        <v>2465</v>
      </c>
      <c r="Y197" s="5" t="s">
        <v>2449</v>
      </c>
      <c r="Z197" s="5">
        <v>3.0</v>
      </c>
      <c r="AA197" s="5" t="s">
        <v>2139</v>
      </c>
      <c r="AB197" s="5" t="s">
        <v>83</v>
      </c>
    </row>
    <row r="198" ht="15.75" customHeight="1">
      <c r="A198" s="4" t="s">
        <v>2466</v>
      </c>
      <c r="B198" s="5" t="s">
        <v>2368</v>
      </c>
      <c r="C198" s="12" t="s">
        <v>2445</v>
      </c>
      <c r="D198" s="7" t="s">
        <v>2467</v>
      </c>
      <c r="E198" s="5"/>
      <c r="F198" s="5" t="s">
        <v>81</v>
      </c>
      <c r="G198" s="5" t="s">
        <v>2138</v>
      </c>
      <c r="H198" s="5" t="s">
        <v>83</v>
      </c>
      <c r="I198" s="8">
        <v>59.0</v>
      </c>
      <c r="J198" s="9" t="s">
        <v>2139</v>
      </c>
      <c r="K198" s="5" t="s">
        <v>2140</v>
      </c>
      <c r="L198" s="5" t="s">
        <v>83</v>
      </c>
      <c r="M198" s="5"/>
      <c r="N198" s="5"/>
      <c r="O198" s="5"/>
      <c r="P198" s="5" t="s">
        <v>2447</v>
      </c>
      <c r="Q198" s="5"/>
      <c r="R198" s="5"/>
      <c r="S198" s="5"/>
      <c r="T198" s="5"/>
      <c r="U198" s="5"/>
      <c r="V198" s="5"/>
      <c r="W198" s="5"/>
      <c r="X198" s="5" t="s">
        <v>2468</v>
      </c>
      <c r="Y198" s="5" t="s">
        <v>2453</v>
      </c>
      <c r="Z198" s="5">
        <v>3.0</v>
      </c>
      <c r="AA198" s="5" t="s">
        <v>2139</v>
      </c>
      <c r="AB198" s="5" t="s">
        <v>83</v>
      </c>
    </row>
    <row r="199" ht="15.75" customHeight="1">
      <c r="A199" s="4" t="s">
        <v>2469</v>
      </c>
      <c r="B199" s="5" t="s">
        <v>2368</v>
      </c>
      <c r="C199" s="12" t="s">
        <v>2470</v>
      </c>
      <c r="D199" s="7" t="s">
        <v>2471</v>
      </c>
      <c r="E199" s="5" t="s">
        <v>2472</v>
      </c>
      <c r="F199" s="5" t="s">
        <v>32</v>
      </c>
      <c r="G199" s="5" t="s">
        <v>289</v>
      </c>
      <c r="H199" s="5" t="s">
        <v>34</v>
      </c>
      <c r="I199" s="8">
        <v>90.0</v>
      </c>
      <c r="J199" s="9" t="s">
        <v>2473</v>
      </c>
      <c r="K199" s="5" t="s">
        <v>289</v>
      </c>
      <c r="L199" s="5" t="s">
        <v>34</v>
      </c>
      <c r="M199" s="5"/>
      <c r="N199" s="5"/>
      <c r="O199" s="5"/>
      <c r="P199" s="5" t="s">
        <v>2373</v>
      </c>
      <c r="Q199" s="5" t="s">
        <v>2373</v>
      </c>
      <c r="R199" s="5" t="s">
        <v>2474</v>
      </c>
      <c r="S199" s="5"/>
      <c r="T199" s="5" t="s">
        <v>2475</v>
      </c>
      <c r="U199" s="5" t="s">
        <v>2373</v>
      </c>
      <c r="V199" s="5" t="s">
        <v>2476</v>
      </c>
      <c r="W199" s="5" t="s">
        <v>2477</v>
      </c>
      <c r="X199" s="5" t="s">
        <v>2478</v>
      </c>
      <c r="Y199" s="5" t="s">
        <v>2479</v>
      </c>
      <c r="Z199" s="5">
        <v>3.0</v>
      </c>
      <c r="AA199" s="5">
        <v>1983.0</v>
      </c>
      <c r="AB199" s="5" t="s">
        <v>34</v>
      </c>
    </row>
    <row r="200" ht="15.75" customHeight="1">
      <c r="A200" s="4" t="s">
        <v>2480</v>
      </c>
      <c r="B200" s="5" t="s">
        <v>2368</v>
      </c>
      <c r="C200" s="12" t="s">
        <v>2481</v>
      </c>
      <c r="D200" s="7" t="s">
        <v>2482</v>
      </c>
      <c r="E200" s="5" t="s">
        <v>2483</v>
      </c>
      <c r="F200" s="5" t="s">
        <v>32</v>
      </c>
      <c r="G200" s="5" t="s">
        <v>33</v>
      </c>
      <c r="H200" s="5" t="s">
        <v>34</v>
      </c>
      <c r="I200" s="8">
        <v>91.0</v>
      </c>
      <c r="J200" s="9" t="s">
        <v>2484</v>
      </c>
      <c r="K200" s="5" t="s">
        <v>33</v>
      </c>
      <c r="L200" s="5" t="s">
        <v>34</v>
      </c>
      <c r="M200" s="5"/>
      <c r="N200" s="5"/>
      <c r="O200" s="5"/>
      <c r="P200" s="5" t="s">
        <v>2485</v>
      </c>
      <c r="Q200" s="5" t="s">
        <v>2486</v>
      </c>
      <c r="R200" s="5" t="s">
        <v>2487</v>
      </c>
      <c r="S200" s="5" t="s">
        <v>2485</v>
      </c>
      <c r="T200" s="5" t="s">
        <v>2488</v>
      </c>
      <c r="U200" s="5" t="s">
        <v>2489</v>
      </c>
      <c r="V200" s="5"/>
      <c r="W200" s="5" t="s">
        <v>2490</v>
      </c>
      <c r="X200" s="5" t="s">
        <v>2491</v>
      </c>
      <c r="Y200" s="5" t="s">
        <v>2492</v>
      </c>
      <c r="Z200" s="5">
        <v>3.0</v>
      </c>
      <c r="AA200" s="5">
        <v>1985.0</v>
      </c>
      <c r="AB200" s="5" t="s">
        <v>34</v>
      </c>
    </row>
    <row r="201" ht="15.75" customHeight="1">
      <c r="A201" s="4" t="s">
        <v>2493</v>
      </c>
      <c r="B201" s="5" t="s">
        <v>2368</v>
      </c>
      <c r="C201" s="12" t="s">
        <v>2494</v>
      </c>
      <c r="D201" s="7" t="s">
        <v>2495</v>
      </c>
      <c r="E201" s="5" t="s">
        <v>2496</v>
      </c>
      <c r="F201" s="5" t="s">
        <v>32</v>
      </c>
      <c r="G201" s="5" t="s">
        <v>517</v>
      </c>
      <c r="H201" s="5" t="s">
        <v>34</v>
      </c>
      <c r="I201" s="8">
        <v>114.0</v>
      </c>
      <c r="J201" s="9" t="s">
        <v>2497</v>
      </c>
      <c r="K201" s="5" t="s">
        <v>518</v>
      </c>
      <c r="L201" s="5" t="s">
        <v>34</v>
      </c>
      <c r="M201" s="5"/>
      <c r="N201" s="5"/>
      <c r="O201" s="5"/>
      <c r="P201" s="5" t="s">
        <v>2402</v>
      </c>
      <c r="Q201" s="5" t="s">
        <v>2402</v>
      </c>
      <c r="R201" s="5"/>
      <c r="S201" s="5" t="s">
        <v>2498</v>
      </c>
      <c r="T201" s="5" t="s">
        <v>2499</v>
      </c>
      <c r="U201" s="5" t="s">
        <v>2405</v>
      </c>
      <c r="V201" s="5" t="s">
        <v>2500</v>
      </c>
      <c r="W201" s="5" t="s">
        <v>2501</v>
      </c>
      <c r="X201" s="5" t="s">
        <v>2502</v>
      </c>
      <c r="Y201" s="5" t="s">
        <v>2503</v>
      </c>
      <c r="Z201" s="5">
        <v>3.0</v>
      </c>
      <c r="AA201" s="5">
        <v>1979.0</v>
      </c>
      <c r="AB201" s="5" t="s">
        <v>34</v>
      </c>
    </row>
    <row r="202" ht="15.75" customHeight="1">
      <c r="A202" s="4" t="s">
        <v>2504</v>
      </c>
      <c r="B202" s="5" t="s">
        <v>2368</v>
      </c>
      <c r="C202" s="12" t="s">
        <v>2505</v>
      </c>
      <c r="D202" s="7" t="s">
        <v>2506</v>
      </c>
      <c r="E202" s="5" t="s">
        <v>2507</v>
      </c>
      <c r="F202" s="5" t="s">
        <v>32</v>
      </c>
      <c r="G202" s="5" t="s">
        <v>517</v>
      </c>
      <c r="H202" s="5" t="s">
        <v>34</v>
      </c>
      <c r="I202" s="8">
        <v>106.0</v>
      </c>
      <c r="J202" s="9" t="s">
        <v>2497</v>
      </c>
      <c r="K202" s="5" t="s">
        <v>518</v>
      </c>
      <c r="L202" s="5" t="s">
        <v>34</v>
      </c>
      <c r="M202" s="5"/>
      <c r="N202" s="5"/>
      <c r="O202" s="5"/>
      <c r="P202" s="5" t="s">
        <v>2402</v>
      </c>
      <c r="Q202" s="5" t="s">
        <v>2402</v>
      </c>
      <c r="R202" s="5"/>
      <c r="S202" s="5"/>
      <c r="T202" s="5" t="s">
        <v>2508</v>
      </c>
      <c r="U202" s="5" t="s">
        <v>2405</v>
      </c>
      <c r="V202" s="5" t="s">
        <v>2509</v>
      </c>
      <c r="W202" s="5" t="s">
        <v>2510</v>
      </c>
      <c r="X202" s="5" t="s">
        <v>2511</v>
      </c>
      <c r="Y202" s="5" t="s">
        <v>2512</v>
      </c>
      <c r="Z202" s="5">
        <v>3.0</v>
      </c>
      <c r="AA202" s="5">
        <v>1979.0</v>
      </c>
      <c r="AB202" s="5" t="s">
        <v>34</v>
      </c>
    </row>
    <row r="203" ht="15.75" customHeight="1">
      <c r="A203" s="4" t="s">
        <v>2513</v>
      </c>
      <c r="B203" s="5" t="s">
        <v>2368</v>
      </c>
      <c r="C203" s="12" t="str">
        <f>"https://" &amp; "letterboxd" &amp; ".com/film/meine-mutter-spurensuche-in-riga/"</f>
        <v>https://letterboxd.com/film/meine-mutter-spurensuche-in-riga/</v>
      </c>
      <c r="D203" s="7" t="s">
        <v>2514</v>
      </c>
      <c r="E203" s="5" t="s">
        <v>2515</v>
      </c>
      <c r="F203" s="5" t="s">
        <v>32</v>
      </c>
      <c r="G203" s="5" t="s">
        <v>2113</v>
      </c>
      <c r="H203" s="5" t="s">
        <v>83</v>
      </c>
      <c r="I203" s="8">
        <v>87.0</v>
      </c>
      <c r="J203" s="9" t="s">
        <v>2516</v>
      </c>
      <c r="K203" s="5" t="s">
        <v>2517</v>
      </c>
      <c r="L203" s="5" t="s">
        <v>83</v>
      </c>
      <c r="M203" s="5"/>
      <c r="N203" s="5"/>
      <c r="O203" s="5"/>
      <c r="P203" s="5" t="s">
        <v>2373</v>
      </c>
      <c r="Q203" s="5" t="s">
        <v>2373</v>
      </c>
      <c r="R203" s="5" t="s">
        <v>2374</v>
      </c>
      <c r="S203" s="5" t="s">
        <v>2373</v>
      </c>
      <c r="T203" s="5" t="s">
        <v>2518</v>
      </c>
      <c r="U203" s="5" t="s">
        <v>2519</v>
      </c>
      <c r="V203" s="5"/>
      <c r="W203" s="5" t="s">
        <v>2520</v>
      </c>
      <c r="X203" s="5" t="s">
        <v>2521</v>
      </c>
      <c r="Y203" s="5" t="s">
        <v>2522</v>
      </c>
      <c r="Z203" s="5">
        <v>3.0</v>
      </c>
      <c r="AA203" s="5">
        <v>2007.0</v>
      </c>
      <c r="AB203" s="5" t="s">
        <v>83</v>
      </c>
    </row>
    <row r="204" ht="15.75" customHeight="1">
      <c r="A204" s="4" t="s">
        <v>2523</v>
      </c>
      <c r="B204" s="5" t="s">
        <v>2368</v>
      </c>
      <c r="C204" s="12" t="s">
        <v>2524</v>
      </c>
      <c r="D204" s="7" t="s">
        <v>2525</v>
      </c>
      <c r="E204" s="5" t="s">
        <v>2526</v>
      </c>
      <c r="F204" s="5" t="s">
        <v>32</v>
      </c>
      <c r="G204" s="5" t="s">
        <v>33</v>
      </c>
      <c r="H204" s="5" t="s">
        <v>34</v>
      </c>
      <c r="I204" s="8">
        <v>106.0</v>
      </c>
      <c r="J204" s="9" t="s">
        <v>2527</v>
      </c>
      <c r="K204" s="5" t="s">
        <v>33</v>
      </c>
      <c r="L204" s="5" t="s">
        <v>34</v>
      </c>
      <c r="M204" s="5"/>
      <c r="N204" s="5"/>
      <c r="O204" s="5"/>
      <c r="P204" s="5" t="s">
        <v>318</v>
      </c>
      <c r="Q204" s="5" t="s">
        <v>318</v>
      </c>
      <c r="R204" s="5" t="s">
        <v>2528</v>
      </c>
      <c r="S204" s="5" t="s">
        <v>2529</v>
      </c>
      <c r="T204" s="5" t="s">
        <v>2530</v>
      </c>
      <c r="U204" s="5" t="s">
        <v>318</v>
      </c>
      <c r="V204" s="5"/>
      <c r="W204" s="5" t="s">
        <v>2531</v>
      </c>
      <c r="X204" s="5" t="s">
        <v>2532</v>
      </c>
      <c r="Y204" s="5" t="s">
        <v>2533</v>
      </c>
      <c r="Z204" s="5">
        <v>3.0</v>
      </c>
      <c r="AA204" s="5">
        <v>2004.0</v>
      </c>
      <c r="AB204" s="5" t="s">
        <v>34</v>
      </c>
    </row>
    <row r="205" ht="15.75" customHeight="1">
      <c r="A205" s="4" t="s">
        <v>2534</v>
      </c>
      <c r="B205" s="5" t="s">
        <v>2368</v>
      </c>
      <c r="C205" s="12" t="s">
        <v>2535</v>
      </c>
      <c r="D205" s="7" t="s">
        <v>2536</v>
      </c>
      <c r="E205" s="5" t="s">
        <v>2537</v>
      </c>
      <c r="F205" s="5" t="s">
        <v>81</v>
      </c>
      <c r="G205" s="5" t="s">
        <v>289</v>
      </c>
      <c r="H205" s="5" t="s">
        <v>83</v>
      </c>
      <c r="I205" s="8">
        <v>67.0</v>
      </c>
      <c r="J205" s="9" t="s">
        <v>2413</v>
      </c>
      <c r="K205" s="5" t="s">
        <v>289</v>
      </c>
      <c r="L205" s="5" t="s">
        <v>83</v>
      </c>
      <c r="M205" s="10"/>
      <c r="N205" s="10"/>
      <c r="O205" s="10"/>
      <c r="P205" s="10" t="s">
        <v>2373</v>
      </c>
      <c r="Q205" s="5"/>
      <c r="R205" s="5" t="s">
        <v>2538</v>
      </c>
      <c r="S205" s="5" t="s">
        <v>2539</v>
      </c>
      <c r="T205" s="5" t="s">
        <v>2540</v>
      </c>
      <c r="U205" s="5" t="s">
        <v>2541</v>
      </c>
      <c r="V205" s="5" t="s">
        <v>2377</v>
      </c>
      <c r="W205" s="5" t="s">
        <v>2542</v>
      </c>
      <c r="X205" s="5" t="s">
        <v>2543</v>
      </c>
      <c r="Y205" s="10" t="s">
        <v>2544</v>
      </c>
      <c r="Z205" s="5">
        <v>3.0</v>
      </c>
      <c r="AA205" s="5">
        <v>1971.0</v>
      </c>
      <c r="AB205" s="5" t="s">
        <v>83</v>
      </c>
    </row>
    <row r="206" ht="15.75" customHeight="1">
      <c r="A206" s="4" t="s">
        <v>2545</v>
      </c>
      <c r="B206" s="5" t="s">
        <v>2368</v>
      </c>
      <c r="C206" s="12" t="str">
        <f>"https://" &amp; "letterboxd" &amp; ".com/film/the-einstein-of-sex/"</f>
        <v>https://letterboxd.com/film/the-einstein-of-sex/</v>
      </c>
      <c r="D206" s="7" t="s">
        <v>2546</v>
      </c>
      <c r="E206" s="5" t="s">
        <v>2547</v>
      </c>
      <c r="F206" s="5" t="s">
        <v>32</v>
      </c>
      <c r="G206" s="5" t="s">
        <v>2113</v>
      </c>
      <c r="H206" s="5" t="s">
        <v>34</v>
      </c>
      <c r="I206" s="8">
        <v>96.0</v>
      </c>
      <c r="J206" s="9" t="s">
        <v>2473</v>
      </c>
      <c r="K206" s="5" t="s">
        <v>289</v>
      </c>
      <c r="L206" s="5" t="s">
        <v>34</v>
      </c>
      <c r="M206" s="5"/>
      <c r="N206" s="5"/>
      <c r="O206" s="5"/>
      <c r="P206" s="5" t="s">
        <v>2373</v>
      </c>
      <c r="Q206" s="5" t="s">
        <v>2548</v>
      </c>
      <c r="R206" s="5" t="s">
        <v>2374</v>
      </c>
      <c r="S206" s="5" t="s">
        <v>2373</v>
      </c>
      <c r="T206" s="5" t="s">
        <v>2518</v>
      </c>
      <c r="U206" s="5" t="s">
        <v>2428</v>
      </c>
      <c r="V206" s="5" t="s">
        <v>2549</v>
      </c>
      <c r="W206" s="5" t="s">
        <v>2550</v>
      </c>
      <c r="X206" s="5" t="s">
        <v>2551</v>
      </c>
      <c r="Y206" s="5" t="s">
        <v>2552</v>
      </c>
      <c r="Z206" s="5">
        <v>3.0</v>
      </c>
      <c r="AA206" s="5">
        <v>1983.0</v>
      </c>
      <c r="AB206" s="5" t="s">
        <v>34</v>
      </c>
    </row>
    <row r="207" ht="15.75" customHeight="1">
      <c r="A207" s="4" t="s">
        <v>2553</v>
      </c>
      <c r="B207" s="5" t="s">
        <v>2368</v>
      </c>
      <c r="C207" s="12" t="s">
        <v>2554</v>
      </c>
      <c r="D207" s="7" t="s">
        <v>2555</v>
      </c>
      <c r="E207" s="5" t="s">
        <v>2556</v>
      </c>
      <c r="F207" s="5" t="s">
        <v>2146</v>
      </c>
      <c r="G207" s="5" t="s">
        <v>289</v>
      </c>
      <c r="H207" s="5" t="s">
        <v>34</v>
      </c>
      <c r="I207" s="8">
        <v>12.0</v>
      </c>
      <c r="J207" s="9" t="s">
        <v>2557</v>
      </c>
      <c r="K207" s="5" t="s">
        <v>289</v>
      </c>
      <c r="L207" s="5" t="s">
        <v>34</v>
      </c>
      <c r="M207" s="5"/>
      <c r="N207" s="5"/>
      <c r="O207" s="5"/>
      <c r="P207" s="5" t="s">
        <v>2437</v>
      </c>
      <c r="Q207" s="5" t="s">
        <v>2437</v>
      </c>
      <c r="R207" s="5" t="s">
        <v>2558</v>
      </c>
      <c r="S207" s="5" t="s">
        <v>2437</v>
      </c>
      <c r="T207" s="5" t="s">
        <v>2437</v>
      </c>
      <c r="U207" s="5" t="s">
        <v>2437</v>
      </c>
      <c r="V207" s="5"/>
      <c r="W207" s="5" t="s">
        <v>2559</v>
      </c>
      <c r="X207" s="5" t="s">
        <v>2560</v>
      </c>
      <c r="Y207" s="5" t="s">
        <v>2561</v>
      </c>
      <c r="Z207" s="5">
        <v>2.0</v>
      </c>
      <c r="AA207" s="5">
        <v>1967.0</v>
      </c>
      <c r="AB207" s="5" t="s">
        <v>34</v>
      </c>
    </row>
    <row r="208" ht="15.75" customHeight="1">
      <c r="A208" s="4" t="s">
        <v>2562</v>
      </c>
      <c r="B208" s="5" t="s">
        <v>2368</v>
      </c>
      <c r="C208" s="12" t="str">
        <f>"https://" &amp; "letterboxd" &amp; ".com/film/short-films-by-wim-wenders/"</f>
        <v>https://letterboxd.com/film/short-films-by-wim-wenders/</v>
      </c>
      <c r="D208" s="7" t="s">
        <v>2563</v>
      </c>
      <c r="E208" s="5"/>
      <c r="F208" s="5" t="s">
        <v>81</v>
      </c>
      <c r="G208" s="5" t="s">
        <v>289</v>
      </c>
      <c r="H208" s="5" t="s">
        <v>34</v>
      </c>
      <c r="I208" s="8">
        <v>111.0</v>
      </c>
      <c r="J208" s="9" t="s">
        <v>2139</v>
      </c>
      <c r="K208" s="5" t="s">
        <v>2140</v>
      </c>
      <c r="L208" s="5" t="s">
        <v>2564</v>
      </c>
      <c r="M208" s="5"/>
      <c r="N208" s="5"/>
      <c r="O208" s="5"/>
      <c r="P208" s="5" t="s">
        <v>2437</v>
      </c>
      <c r="Q208" s="5"/>
      <c r="R208" s="5"/>
      <c r="S208" s="5"/>
      <c r="T208" s="5"/>
      <c r="U208" s="5"/>
      <c r="V208" s="5"/>
      <c r="W208" s="5"/>
      <c r="X208" s="5" t="s">
        <v>2565</v>
      </c>
      <c r="Y208" s="5" t="s">
        <v>2566</v>
      </c>
      <c r="Z208" s="5">
        <v>3.0</v>
      </c>
      <c r="AA208" s="5" t="s">
        <v>2139</v>
      </c>
      <c r="AB208" s="5" t="s">
        <v>2564</v>
      </c>
    </row>
    <row r="209" ht="15.75" customHeight="1">
      <c r="A209" s="4" t="s">
        <v>2567</v>
      </c>
      <c r="B209" s="5" t="s">
        <v>2368</v>
      </c>
      <c r="C209" s="12" t="s">
        <v>2568</v>
      </c>
      <c r="D209" s="7" t="s">
        <v>2569</v>
      </c>
      <c r="E209" s="5" t="s">
        <v>2570</v>
      </c>
      <c r="F209" s="5" t="s">
        <v>81</v>
      </c>
      <c r="G209" s="5" t="s">
        <v>289</v>
      </c>
      <c r="H209" s="5" t="s">
        <v>83</v>
      </c>
      <c r="I209" s="8">
        <v>47.0</v>
      </c>
      <c r="J209" s="9" t="s">
        <v>2436</v>
      </c>
      <c r="K209" s="5" t="s">
        <v>289</v>
      </c>
      <c r="L209" s="5" t="s">
        <v>83</v>
      </c>
      <c r="M209" s="10"/>
      <c r="N209" s="10"/>
      <c r="O209" s="10"/>
      <c r="P209" s="10" t="s">
        <v>2437</v>
      </c>
      <c r="Q209" s="5"/>
      <c r="R209" s="5" t="s">
        <v>2438</v>
      </c>
      <c r="S209" s="5" t="s">
        <v>2571</v>
      </c>
      <c r="T209" s="5" t="s">
        <v>2572</v>
      </c>
      <c r="U209" s="5" t="s">
        <v>2573</v>
      </c>
      <c r="V209" s="5" t="s">
        <v>2574</v>
      </c>
      <c r="W209" s="5" t="s">
        <v>2575</v>
      </c>
      <c r="X209" s="5" t="s">
        <v>2576</v>
      </c>
      <c r="Y209" s="10" t="s">
        <v>2577</v>
      </c>
      <c r="Z209" s="5">
        <v>2.0</v>
      </c>
      <c r="AA209" s="5">
        <v>1982.0</v>
      </c>
      <c r="AB209" s="5" t="s">
        <v>83</v>
      </c>
    </row>
    <row r="210" ht="15.75" customHeight="1">
      <c r="A210" s="4" t="s">
        <v>2578</v>
      </c>
      <c r="B210" s="5" t="s">
        <v>2368</v>
      </c>
      <c r="C210" s="12" t="s">
        <v>2579</v>
      </c>
      <c r="D210" s="7" t="s">
        <v>2580</v>
      </c>
      <c r="E210" s="5" t="s">
        <v>2581</v>
      </c>
      <c r="F210" s="5" t="s">
        <v>2146</v>
      </c>
      <c r="G210" s="5" t="s">
        <v>289</v>
      </c>
      <c r="H210" s="5" t="s">
        <v>83</v>
      </c>
      <c r="I210" s="8">
        <v>33.0</v>
      </c>
      <c r="J210" s="9" t="s">
        <v>2582</v>
      </c>
      <c r="K210" s="5" t="s">
        <v>289</v>
      </c>
      <c r="L210" s="5" t="s">
        <v>83</v>
      </c>
      <c r="M210" s="5"/>
      <c r="N210" s="5"/>
      <c r="O210" s="5"/>
      <c r="P210" s="5" t="s">
        <v>2437</v>
      </c>
      <c r="Q210" s="5"/>
      <c r="R210" s="5"/>
      <c r="S210" s="5"/>
      <c r="T210" s="5"/>
      <c r="U210" s="5"/>
      <c r="V210" s="5"/>
      <c r="W210" s="5"/>
      <c r="X210" s="5" t="s">
        <v>2583</v>
      </c>
      <c r="Y210" s="5" t="s">
        <v>2584</v>
      </c>
      <c r="Z210" s="5">
        <v>2.0</v>
      </c>
      <c r="AA210" s="5">
        <v>1968.0</v>
      </c>
      <c r="AB210" s="5" t="s">
        <v>83</v>
      </c>
    </row>
    <row r="211" ht="15.75" customHeight="1">
      <c r="A211" s="4" t="s">
        <v>2585</v>
      </c>
      <c r="B211" s="5" t="s">
        <v>2368</v>
      </c>
      <c r="C211" s="12" t="s">
        <v>2586</v>
      </c>
      <c r="D211" s="7" t="s">
        <v>2587</v>
      </c>
      <c r="E211" s="5" t="s">
        <v>2588</v>
      </c>
      <c r="F211" s="5" t="s">
        <v>32</v>
      </c>
      <c r="G211" s="5" t="s">
        <v>289</v>
      </c>
      <c r="H211" s="5" t="s">
        <v>83</v>
      </c>
      <c r="I211" s="8">
        <v>89.0</v>
      </c>
      <c r="J211" s="9" t="s">
        <v>2589</v>
      </c>
      <c r="K211" s="5" t="s">
        <v>289</v>
      </c>
      <c r="L211" s="5" t="s">
        <v>83</v>
      </c>
      <c r="M211" s="5"/>
      <c r="N211" s="5"/>
      <c r="O211" s="5"/>
      <c r="P211" s="5" t="s">
        <v>2373</v>
      </c>
      <c r="Q211" s="5" t="s">
        <v>2590</v>
      </c>
      <c r="R211" s="5" t="s">
        <v>2591</v>
      </c>
      <c r="S211" s="5" t="s">
        <v>2373</v>
      </c>
      <c r="T211" s="5" t="s">
        <v>2592</v>
      </c>
      <c r="U211" s="5"/>
      <c r="V211" s="5" t="s">
        <v>2593</v>
      </c>
      <c r="W211" s="5" t="s">
        <v>2594</v>
      </c>
      <c r="X211" s="5" t="s">
        <v>2595</v>
      </c>
      <c r="Y211" s="5" t="s">
        <v>2596</v>
      </c>
      <c r="Z211" s="5">
        <v>3.0</v>
      </c>
      <c r="AA211" s="5">
        <v>1989.0</v>
      </c>
      <c r="AB211" s="5" t="s">
        <v>83</v>
      </c>
    </row>
    <row r="212" ht="15.75" customHeight="1">
      <c r="A212" s="4" t="s">
        <v>2597</v>
      </c>
      <c r="B212" s="5" t="s">
        <v>2368</v>
      </c>
      <c r="C212" s="12" t="s">
        <v>2445</v>
      </c>
      <c r="D212" s="7" t="s">
        <v>2598</v>
      </c>
      <c r="E212" s="5"/>
      <c r="F212" s="5" t="s">
        <v>81</v>
      </c>
      <c r="G212" s="5" t="s">
        <v>261</v>
      </c>
      <c r="H212" s="5" t="s">
        <v>83</v>
      </c>
      <c r="I212" s="8">
        <v>120.0</v>
      </c>
      <c r="J212" s="9" t="s">
        <v>1994</v>
      </c>
      <c r="K212" s="5" t="s">
        <v>261</v>
      </c>
      <c r="L212" s="5" t="s">
        <v>2599</v>
      </c>
      <c r="M212" s="5"/>
      <c r="N212" s="5"/>
      <c r="O212" s="5"/>
      <c r="P212" s="5" t="s">
        <v>2447</v>
      </c>
      <c r="Q212" s="5"/>
      <c r="R212" s="5"/>
      <c r="S212" s="5"/>
      <c r="T212" s="5"/>
      <c r="U212" s="5"/>
      <c r="V212" s="5"/>
      <c r="W212" s="5"/>
      <c r="X212" s="5" t="s">
        <v>2600</v>
      </c>
      <c r="Y212" s="5" t="s">
        <v>2601</v>
      </c>
      <c r="Z212" s="5">
        <v>3.0</v>
      </c>
      <c r="AA212" s="5">
        <v>2024.0</v>
      </c>
      <c r="AB212" s="5" t="s">
        <v>2599</v>
      </c>
    </row>
    <row r="213" ht="15.75" customHeight="1">
      <c r="A213" s="4" t="s">
        <v>2602</v>
      </c>
      <c r="B213" s="5" t="s">
        <v>2368</v>
      </c>
      <c r="C213" s="12" t="s">
        <v>2445</v>
      </c>
      <c r="D213" s="7" t="s">
        <v>2603</v>
      </c>
      <c r="E213" s="5"/>
      <c r="F213" s="5" t="s">
        <v>81</v>
      </c>
      <c r="G213" s="5" t="s">
        <v>261</v>
      </c>
      <c r="H213" s="5" t="s">
        <v>83</v>
      </c>
      <c r="I213" s="8">
        <v>123.0</v>
      </c>
      <c r="J213" s="9" t="s">
        <v>1994</v>
      </c>
      <c r="K213" s="5" t="s">
        <v>261</v>
      </c>
      <c r="L213" s="5" t="s">
        <v>2599</v>
      </c>
      <c r="M213" s="5"/>
      <c r="N213" s="5"/>
      <c r="O213" s="5"/>
      <c r="P213" s="5" t="s">
        <v>2447</v>
      </c>
      <c r="Q213" s="5"/>
      <c r="R213" s="5"/>
      <c r="S213" s="5"/>
      <c r="T213" s="5"/>
      <c r="U213" s="5"/>
      <c r="V213" s="5"/>
      <c r="W213" s="5"/>
      <c r="X213" s="5" t="s">
        <v>2604</v>
      </c>
      <c r="Y213" s="5" t="s">
        <v>2605</v>
      </c>
      <c r="Z213" s="5">
        <v>3.0</v>
      </c>
      <c r="AA213" s="5">
        <v>2024.0</v>
      </c>
      <c r="AB213" s="5" t="s">
        <v>2599</v>
      </c>
    </row>
    <row r="214" ht="15.75" customHeight="1">
      <c r="A214" s="4" t="s">
        <v>2606</v>
      </c>
      <c r="B214" s="5" t="s">
        <v>2368</v>
      </c>
      <c r="C214" s="12" t="s">
        <v>2445</v>
      </c>
      <c r="D214" s="7" t="s">
        <v>2607</v>
      </c>
      <c r="E214" s="5"/>
      <c r="F214" s="5" t="s">
        <v>81</v>
      </c>
      <c r="G214" s="5" t="s">
        <v>261</v>
      </c>
      <c r="H214" s="5" t="s">
        <v>83</v>
      </c>
      <c r="I214" s="8">
        <v>122.0</v>
      </c>
      <c r="J214" s="9" t="s">
        <v>1994</v>
      </c>
      <c r="K214" s="5" t="s">
        <v>261</v>
      </c>
      <c r="L214" s="5" t="s">
        <v>2599</v>
      </c>
      <c r="M214" s="5"/>
      <c r="N214" s="5"/>
      <c r="O214" s="5"/>
      <c r="P214" s="5" t="s">
        <v>2447</v>
      </c>
      <c r="Q214" s="5"/>
      <c r="R214" s="5"/>
      <c r="S214" s="5"/>
      <c r="T214" s="5"/>
      <c r="U214" s="5"/>
      <c r="V214" s="5"/>
      <c r="W214" s="5"/>
      <c r="X214" s="5" t="s">
        <v>2608</v>
      </c>
      <c r="Y214" s="5" t="s">
        <v>2609</v>
      </c>
      <c r="Z214" s="5">
        <v>3.0</v>
      </c>
      <c r="AA214" s="5">
        <v>2024.0</v>
      </c>
      <c r="AB214" s="5" t="s">
        <v>2599</v>
      </c>
    </row>
    <row r="215" ht="15.75" customHeight="1">
      <c r="A215" s="4" t="s">
        <v>2610</v>
      </c>
      <c r="B215" s="5" t="s">
        <v>2368</v>
      </c>
      <c r="C215" s="12" t="s">
        <v>2611</v>
      </c>
      <c r="D215" s="7" t="s">
        <v>2612</v>
      </c>
      <c r="E215" s="5" t="s">
        <v>2613</v>
      </c>
      <c r="F215" s="5" t="s">
        <v>32</v>
      </c>
      <c r="G215" s="5" t="s">
        <v>517</v>
      </c>
      <c r="H215" s="5" t="s">
        <v>34</v>
      </c>
      <c r="I215" s="8">
        <v>100.0</v>
      </c>
      <c r="J215" s="9" t="s">
        <v>2361</v>
      </c>
      <c r="K215" s="5" t="s">
        <v>518</v>
      </c>
      <c r="L215" s="5" t="s">
        <v>34</v>
      </c>
      <c r="M215" s="5"/>
      <c r="N215" s="5"/>
      <c r="O215" s="5"/>
      <c r="P215" s="5" t="s">
        <v>2402</v>
      </c>
      <c r="Q215" s="5" t="s">
        <v>2614</v>
      </c>
      <c r="R215" s="5"/>
      <c r="S215" s="5" t="s">
        <v>2615</v>
      </c>
      <c r="T215" s="5" t="s">
        <v>2616</v>
      </c>
      <c r="U215" s="5" t="s">
        <v>2617</v>
      </c>
      <c r="V215" s="5"/>
      <c r="W215" s="5" t="s">
        <v>2618</v>
      </c>
      <c r="X215" s="5" t="s">
        <v>2619</v>
      </c>
      <c r="Y215" s="5" t="s">
        <v>2620</v>
      </c>
      <c r="Z215" s="5">
        <v>3.0</v>
      </c>
      <c r="AA215" s="5">
        <v>1976.0</v>
      </c>
      <c r="AB215" s="5" t="s">
        <v>34</v>
      </c>
    </row>
    <row r="216" ht="15.75" customHeight="1">
      <c r="A216" s="4" t="s">
        <v>2621</v>
      </c>
      <c r="B216" s="5" t="s">
        <v>2622</v>
      </c>
      <c r="C216" s="12" t="str">
        <f>"https://" &amp; "letterboxd" &amp; ".com/film/motherwitch/"</f>
        <v>https://letterboxd.com/film/motherwitch/</v>
      </c>
      <c r="D216" s="7" t="s">
        <v>2623</v>
      </c>
      <c r="E216" s="5" t="s">
        <v>2624</v>
      </c>
      <c r="F216" s="5" t="s">
        <v>32</v>
      </c>
      <c r="G216" s="5" t="s">
        <v>2625</v>
      </c>
      <c r="H216" s="5" t="s">
        <v>34</v>
      </c>
      <c r="I216" s="8">
        <v>104.0</v>
      </c>
      <c r="J216" s="9" t="s">
        <v>35</v>
      </c>
      <c r="K216" s="5" t="s">
        <v>2626</v>
      </c>
      <c r="L216" s="5" t="s">
        <v>34</v>
      </c>
      <c r="M216" s="5"/>
      <c r="N216" s="5"/>
      <c r="O216" s="5"/>
      <c r="P216" s="5" t="s">
        <v>2627</v>
      </c>
      <c r="Q216" s="5" t="s">
        <v>2628</v>
      </c>
      <c r="R216" s="5" t="s">
        <v>2629</v>
      </c>
      <c r="S216" s="5" t="s">
        <v>2630</v>
      </c>
      <c r="T216" s="5" t="s">
        <v>2631</v>
      </c>
      <c r="U216" s="5" t="s">
        <v>2632</v>
      </c>
      <c r="V216" s="5" t="s">
        <v>2633</v>
      </c>
      <c r="W216" s="5" t="s">
        <v>2634</v>
      </c>
      <c r="X216" s="5" t="s">
        <v>2635</v>
      </c>
      <c r="Y216" s="5" t="s">
        <v>2636</v>
      </c>
      <c r="Z216" s="5">
        <v>5.0</v>
      </c>
      <c r="AA216" s="5">
        <v>2026.0</v>
      </c>
      <c r="AB216" s="5" t="s">
        <v>34</v>
      </c>
    </row>
    <row r="217" ht="15.75" customHeight="1">
      <c r="A217" s="4" t="s">
        <v>2637</v>
      </c>
      <c r="B217" s="5" t="s">
        <v>2622</v>
      </c>
      <c r="C217" s="12" t="s">
        <v>2638</v>
      </c>
      <c r="D217" s="7" t="s">
        <v>2639</v>
      </c>
      <c r="E217" s="5" t="s">
        <v>2640</v>
      </c>
      <c r="F217" s="5" t="s">
        <v>32</v>
      </c>
      <c r="G217" s="5" t="s">
        <v>449</v>
      </c>
      <c r="H217" s="5" t="s">
        <v>34</v>
      </c>
      <c r="I217" s="8">
        <v>160.0</v>
      </c>
      <c r="J217" s="9" t="s">
        <v>35</v>
      </c>
      <c r="K217" s="5" t="s">
        <v>449</v>
      </c>
      <c r="L217" s="5" t="s">
        <v>34</v>
      </c>
      <c r="M217" s="10" t="s">
        <v>65</v>
      </c>
      <c r="N217" s="10" t="s">
        <v>66</v>
      </c>
      <c r="O217" s="10" t="s">
        <v>129</v>
      </c>
      <c r="P217" s="5" t="s">
        <v>2641</v>
      </c>
      <c r="Q217" s="5" t="s">
        <v>2641</v>
      </c>
      <c r="R217" s="5" t="s">
        <v>2642</v>
      </c>
      <c r="S217" s="5" t="s">
        <v>2643</v>
      </c>
      <c r="T217" s="5" t="s">
        <v>2644</v>
      </c>
      <c r="U217" s="5" t="s">
        <v>2645</v>
      </c>
      <c r="V217" s="5" t="s">
        <v>2646</v>
      </c>
      <c r="W217" s="5" t="s">
        <v>2647</v>
      </c>
      <c r="X217" s="5" t="s">
        <v>2648</v>
      </c>
      <c r="Y217" s="5" t="s">
        <v>2649</v>
      </c>
      <c r="Z217" s="5">
        <v>3.0</v>
      </c>
      <c r="AA217" s="5">
        <v>2026.0</v>
      </c>
      <c r="AB217" s="5" t="s">
        <v>34</v>
      </c>
    </row>
    <row r="218" ht="15.75" customHeight="1">
      <c r="A218" s="4" t="s">
        <v>2650</v>
      </c>
      <c r="B218" s="5" t="s">
        <v>2622</v>
      </c>
      <c r="C218" s="12" t="s">
        <v>2651</v>
      </c>
      <c r="D218" s="7" t="s">
        <v>2652</v>
      </c>
      <c r="E218" s="5" t="s">
        <v>2653</v>
      </c>
      <c r="F218" s="5" t="s">
        <v>32</v>
      </c>
      <c r="G218" s="5" t="s">
        <v>418</v>
      </c>
      <c r="H218" s="5" t="s">
        <v>795</v>
      </c>
      <c r="I218" s="8">
        <v>86.0</v>
      </c>
      <c r="J218" s="9" t="s">
        <v>35</v>
      </c>
      <c r="K218" s="5" t="s">
        <v>2654</v>
      </c>
      <c r="L218" s="5" t="s">
        <v>795</v>
      </c>
      <c r="M218" s="10" t="s">
        <v>65</v>
      </c>
      <c r="N218" s="10" t="s">
        <v>66</v>
      </c>
      <c r="O218" s="10" t="s">
        <v>2655</v>
      </c>
      <c r="P218" s="5" t="s">
        <v>2656</v>
      </c>
      <c r="Q218" s="5" t="s">
        <v>2657</v>
      </c>
      <c r="R218" s="5" t="s">
        <v>2658</v>
      </c>
      <c r="S218" s="5" t="s">
        <v>2659</v>
      </c>
      <c r="T218" s="5"/>
      <c r="U218" s="5" t="s">
        <v>2660</v>
      </c>
      <c r="V218" s="5" t="s">
        <v>2661</v>
      </c>
      <c r="W218" s="5" t="s">
        <v>2662</v>
      </c>
      <c r="X218" s="5" t="s">
        <v>2663</v>
      </c>
      <c r="Y218" s="5" t="s">
        <v>2664</v>
      </c>
      <c r="Z218" s="5">
        <v>3.0</v>
      </c>
      <c r="AA218" s="5">
        <v>2026.0</v>
      </c>
      <c r="AB218" s="5" t="s">
        <v>795</v>
      </c>
    </row>
    <row r="219" ht="15.75" customHeight="1">
      <c r="A219" s="4" t="s">
        <v>2665</v>
      </c>
      <c r="B219" s="5" t="s">
        <v>2622</v>
      </c>
      <c r="C219" s="12" t="s">
        <v>2666</v>
      </c>
      <c r="D219" s="7" t="s">
        <v>2667</v>
      </c>
      <c r="E219" s="5"/>
      <c r="F219" s="5" t="s">
        <v>81</v>
      </c>
      <c r="G219" s="5" t="s">
        <v>2668</v>
      </c>
      <c r="H219" s="5" t="s">
        <v>34</v>
      </c>
      <c r="I219" s="8">
        <v>88.0</v>
      </c>
      <c r="J219" s="9" t="s">
        <v>35</v>
      </c>
      <c r="K219" s="5" t="s">
        <v>2668</v>
      </c>
      <c r="L219" s="5" t="s">
        <v>34</v>
      </c>
      <c r="M219" s="10" t="s">
        <v>65</v>
      </c>
      <c r="N219" s="10" t="s">
        <v>316</v>
      </c>
      <c r="O219" s="10" t="s">
        <v>2669</v>
      </c>
      <c r="P219" s="5" t="s">
        <v>2670</v>
      </c>
      <c r="Q219" s="5" t="s">
        <v>2670</v>
      </c>
      <c r="R219" s="5" t="s">
        <v>2671</v>
      </c>
      <c r="S219" s="5" t="s">
        <v>2672</v>
      </c>
      <c r="T219" s="5" t="s">
        <v>2673</v>
      </c>
      <c r="U219" s="5" t="s">
        <v>2674</v>
      </c>
      <c r="V219" s="5" t="s">
        <v>2675</v>
      </c>
      <c r="W219" s="5" t="s">
        <v>2676</v>
      </c>
      <c r="X219" s="5" t="s">
        <v>2677</v>
      </c>
      <c r="Y219" s="5" t="s">
        <v>2678</v>
      </c>
      <c r="Z219" s="5">
        <v>3.0</v>
      </c>
      <c r="AA219" s="5">
        <v>2026.0</v>
      </c>
      <c r="AB219" s="5" t="s">
        <v>34</v>
      </c>
    </row>
    <row r="220" ht="15.75" customHeight="1">
      <c r="A220" s="4" t="s">
        <v>2679</v>
      </c>
      <c r="B220" s="5" t="s">
        <v>2622</v>
      </c>
      <c r="C220" s="12" t="s">
        <v>2680</v>
      </c>
      <c r="D220" s="7" t="s">
        <v>2681</v>
      </c>
      <c r="E220" s="5" t="s">
        <v>2682</v>
      </c>
      <c r="F220" s="5" t="s">
        <v>32</v>
      </c>
      <c r="G220" s="5" t="s">
        <v>2683</v>
      </c>
      <c r="H220" s="5" t="s">
        <v>34</v>
      </c>
      <c r="I220" s="8">
        <v>94.0</v>
      </c>
      <c r="J220" s="9" t="s">
        <v>35</v>
      </c>
      <c r="K220" s="5" t="s">
        <v>2683</v>
      </c>
      <c r="L220" s="5" t="s">
        <v>34</v>
      </c>
      <c r="M220" s="10" t="s">
        <v>65</v>
      </c>
      <c r="N220" s="10" t="s">
        <v>316</v>
      </c>
      <c r="O220" s="10" t="s">
        <v>2669</v>
      </c>
      <c r="P220" s="5" t="s">
        <v>2684</v>
      </c>
      <c r="Q220" s="5" t="s">
        <v>2684</v>
      </c>
      <c r="R220" s="5" t="s">
        <v>2685</v>
      </c>
      <c r="S220" s="5" t="s">
        <v>2686</v>
      </c>
      <c r="T220" s="5" t="s">
        <v>2687</v>
      </c>
      <c r="U220" s="5" t="s">
        <v>2684</v>
      </c>
      <c r="V220" s="5" t="s">
        <v>2688</v>
      </c>
      <c r="W220" s="5" t="s">
        <v>2689</v>
      </c>
      <c r="X220" s="5" t="s">
        <v>2690</v>
      </c>
      <c r="Y220" s="5" t="s">
        <v>2691</v>
      </c>
      <c r="Z220" s="5">
        <v>3.0</v>
      </c>
      <c r="AA220" s="5">
        <v>2026.0</v>
      </c>
      <c r="AB220" s="5" t="s">
        <v>34</v>
      </c>
    </row>
    <row r="221" ht="15.75" customHeight="1">
      <c r="A221" s="4" t="s">
        <v>2692</v>
      </c>
      <c r="B221" s="5" t="s">
        <v>2622</v>
      </c>
      <c r="C221" s="12" t="s">
        <v>2693</v>
      </c>
      <c r="D221" s="7" t="s">
        <v>2694</v>
      </c>
      <c r="E221" s="5" t="s">
        <v>2695</v>
      </c>
      <c r="F221" s="5" t="s">
        <v>32</v>
      </c>
      <c r="G221" s="5" t="s">
        <v>219</v>
      </c>
      <c r="H221" s="5" t="s">
        <v>34</v>
      </c>
      <c r="I221" s="8">
        <v>87.0</v>
      </c>
      <c r="J221" s="9" t="s">
        <v>35</v>
      </c>
      <c r="K221" s="5" t="s">
        <v>219</v>
      </c>
      <c r="L221" s="5" t="s">
        <v>34</v>
      </c>
      <c r="M221" s="5"/>
      <c r="N221" s="5"/>
      <c r="O221" s="5"/>
      <c r="P221" s="5" t="s">
        <v>2696</v>
      </c>
      <c r="Q221" s="5" t="s">
        <v>2696</v>
      </c>
      <c r="R221" s="5" t="s">
        <v>2697</v>
      </c>
      <c r="S221" s="5" t="s">
        <v>2698</v>
      </c>
      <c r="T221" s="5" t="s">
        <v>2699</v>
      </c>
      <c r="U221" s="5" t="s">
        <v>2700</v>
      </c>
      <c r="V221" s="5" t="s">
        <v>2701</v>
      </c>
      <c r="W221" s="5" t="s">
        <v>2702</v>
      </c>
      <c r="X221" s="5" t="s">
        <v>2703</v>
      </c>
      <c r="Y221" s="5" t="s">
        <v>2704</v>
      </c>
      <c r="Z221" s="5">
        <v>3.0</v>
      </c>
      <c r="AA221" s="5">
        <v>2026.0</v>
      </c>
      <c r="AB221" s="5" t="s">
        <v>34</v>
      </c>
    </row>
    <row r="222" ht="15.75" customHeight="1">
      <c r="A222" s="4" t="s">
        <v>2705</v>
      </c>
      <c r="B222" s="5" t="s">
        <v>2622</v>
      </c>
      <c r="C222" s="12" t="str">
        <f>"https://" &amp; "letterboxd" &amp; ".com/film/sanguine-2026/"</f>
        <v>https://letterboxd.com/film/sanguine-2026/</v>
      </c>
      <c r="D222" s="7" t="s">
        <v>2706</v>
      </c>
      <c r="E222" s="5" t="s">
        <v>2707</v>
      </c>
      <c r="F222" s="5" t="s">
        <v>32</v>
      </c>
      <c r="G222" s="5" t="s">
        <v>742</v>
      </c>
      <c r="H222" s="5" t="s">
        <v>34</v>
      </c>
      <c r="I222" s="8">
        <v>103.0</v>
      </c>
      <c r="J222" s="9" t="s">
        <v>35</v>
      </c>
      <c r="K222" s="5" t="s">
        <v>419</v>
      </c>
      <c r="L222" s="5" t="s">
        <v>34</v>
      </c>
      <c r="M222" s="5"/>
      <c r="N222" s="5"/>
      <c r="O222" s="5"/>
      <c r="P222" s="5" t="s">
        <v>2708</v>
      </c>
      <c r="Q222" s="5" t="s">
        <v>2709</v>
      </c>
      <c r="R222" s="5" t="s">
        <v>2710</v>
      </c>
      <c r="S222" s="5" t="s">
        <v>2711</v>
      </c>
      <c r="T222" s="5" t="s">
        <v>2712</v>
      </c>
      <c r="U222" s="5" t="s">
        <v>2713</v>
      </c>
      <c r="V222" s="5"/>
      <c r="W222" s="5" t="s">
        <v>2714</v>
      </c>
      <c r="X222" s="5" t="s">
        <v>2715</v>
      </c>
      <c r="Y222" s="5" t="s">
        <v>2716</v>
      </c>
      <c r="Z222" s="5">
        <v>3.0</v>
      </c>
      <c r="AA222" s="5">
        <v>2026.0</v>
      </c>
      <c r="AB222" s="5" t="s">
        <v>34</v>
      </c>
    </row>
    <row r="223" ht="15.75" customHeight="1">
      <c r="A223" s="4" t="s">
        <v>2717</v>
      </c>
      <c r="B223" s="5" t="s">
        <v>2622</v>
      </c>
      <c r="C223" s="12" t="s">
        <v>2718</v>
      </c>
      <c r="D223" s="7" t="s">
        <v>2719</v>
      </c>
      <c r="E223" s="5" t="s">
        <v>2720</v>
      </c>
      <c r="F223" s="5" t="s">
        <v>32</v>
      </c>
      <c r="G223" s="5" t="s">
        <v>464</v>
      </c>
      <c r="H223" s="5" t="s">
        <v>34</v>
      </c>
      <c r="I223" s="8">
        <v>109.0</v>
      </c>
      <c r="J223" s="9" t="s">
        <v>35</v>
      </c>
      <c r="K223" s="5" t="s">
        <v>2721</v>
      </c>
      <c r="L223" s="5" t="s">
        <v>34</v>
      </c>
      <c r="M223" s="10" t="s">
        <v>65</v>
      </c>
      <c r="N223" s="10" t="s">
        <v>66</v>
      </c>
      <c r="O223" s="10" t="s">
        <v>2722</v>
      </c>
      <c r="P223" s="5" t="s">
        <v>2723</v>
      </c>
      <c r="Q223" s="5" t="s">
        <v>2724</v>
      </c>
      <c r="R223" s="5" t="s">
        <v>2725</v>
      </c>
      <c r="S223" s="5" t="s">
        <v>2723</v>
      </c>
      <c r="T223" s="5" t="s">
        <v>2726</v>
      </c>
      <c r="U223" s="5" t="s">
        <v>2727</v>
      </c>
      <c r="V223" s="5" t="s">
        <v>2728</v>
      </c>
      <c r="W223" s="5" t="s">
        <v>2729</v>
      </c>
      <c r="X223" s="5" t="s">
        <v>2730</v>
      </c>
      <c r="Y223" s="5" t="s">
        <v>2731</v>
      </c>
      <c r="Z223" s="5">
        <v>4.0</v>
      </c>
      <c r="AA223" s="5">
        <v>2026.0</v>
      </c>
      <c r="AB223" s="5" t="s">
        <v>34</v>
      </c>
    </row>
    <row r="224" ht="15.75" customHeight="1">
      <c r="A224" s="4" t="s">
        <v>2732</v>
      </c>
      <c r="B224" s="5" t="s">
        <v>2622</v>
      </c>
      <c r="C224" s="12" t="str">
        <f>"https://" &amp; "letterboxd" &amp; ".com/film/gun-che/"</f>
        <v>https://letterboxd.com/film/gun-che/</v>
      </c>
      <c r="D224" s="7" t="s">
        <v>2733</v>
      </c>
      <c r="E224" s="5" t="s">
        <v>2734</v>
      </c>
      <c r="F224" s="5" t="s">
        <v>32</v>
      </c>
      <c r="G224" s="5" t="s">
        <v>449</v>
      </c>
      <c r="H224" s="5" t="s">
        <v>34</v>
      </c>
      <c r="I224" s="8">
        <v>122.0</v>
      </c>
      <c r="J224" s="9" t="s">
        <v>35</v>
      </c>
      <c r="K224" s="5" t="s">
        <v>449</v>
      </c>
      <c r="L224" s="5" t="s">
        <v>34</v>
      </c>
      <c r="M224" s="10" t="s">
        <v>65</v>
      </c>
      <c r="N224" s="10" t="s">
        <v>66</v>
      </c>
      <c r="O224" s="10" t="s">
        <v>2655</v>
      </c>
      <c r="P224" s="5" t="s">
        <v>2735</v>
      </c>
      <c r="Q224" s="5" t="s">
        <v>2736</v>
      </c>
      <c r="R224" s="5"/>
      <c r="S224" s="5" t="s">
        <v>2737</v>
      </c>
      <c r="T224" s="5" t="s">
        <v>2738</v>
      </c>
      <c r="U224" s="5" t="s">
        <v>2738</v>
      </c>
      <c r="V224" s="5" t="s">
        <v>2739</v>
      </c>
      <c r="W224" s="5" t="s">
        <v>2740</v>
      </c>
      <c r="X224" s="5" t="s">
        <v>2741</v>
      </c>
      <c r="Y224" s="5" t="s">
        <v>2742</v>
      </c>
      <c r="Z224" s="5">
        <v>3.0</v>
      </c>
      <c r="AA224" s="5">
        <v>2026.0</v>
      </c>
      <c r="AB224" s="5" t="s">
        <v>34</v>
      </c>
    </row>
    <row r="225" ht="15.75" customHeight="1">
      <c r="A225" s="4" t="s">
        <v>2743</v>
      </c>
      <c r="B225" s="5" t="s">
        <v>2744</v>
      </c>
      <c r="C225" s="12" t="s">
        <v>2745</v>
      </c>
      <c r="D225" s="7" t="s">
        <v>2746</v>
      </c>
      <c r="E225" s="5"/>
      <c r="F225" s="5" t="s">
        <v>81</v>
      </c>
      <c r="G225" s="5" t="s">
        <v>33</v>
      </c>
      <c r="H225" s="5" t="s">
        <v>83</v>
      </c>
      <c r="I225" s="8">
        <v>97.0</v>
      </c>
      <c r="J225" s="9" t="s">
        <v>35</v>
      </c>
      <c r="K225" s="5" t="s">
        <v>33</v>
      </c>
      <c r="L225" s="5" t="s">
        <v>83</v>
      </c>
      <c r="M225" s="5"/>
      <c r="N225" s="5"/>
      <c r="O225" s="5"/>
      <c r="P225" s="5" t="s">
        <v>2747</v>
      </c>
      <c r="Q225" s="5"/>
      <c r="R225" s="5" t="s">
        <v>2748</v>
      </c>
      <c r="S225" s="5" t="s">
        <v>2749</v>
      </c>
      <c r="T225" s="5" t="s">
        <v>2750</v>
      </c>
      <c r="U225" s="5" t="s">
        <v>2751</v>
      </c>
      <c r="V225" s="5" t="s">
        <v>2752</v>
      </c>
      <c r="W225" s="5"/>
      <c r="X225" s="5" t="s">
        <v>2753</v>
      </c>
      <c r="Y225" s="5" t="s">
        <v>2754</v>
      </c>
      <c r="Z225" s="5">
        <v>3.0</v>
      </c>
      <c r="AA225" s="5">
        <v>2026.0</v>
      </c>
      <c r="AB225" s="5" t="s">
        <v>83</v>
      </c>
    </row>
    <row r="226" ht="15.75" customHeight="1">
      <c r="A226" s="4" t="s">
        <v>2755</v>
      </c>
      <c r="B226" s="5" t="s">
        <v>2744</v>
      </c>
      <c r="C226" s="12" t="str">
        <f>"https://" &amp; "letterboxd" &amp; ".com/film/holy-wood-dust/"</f>
        <v>https://letterboxd.com/film/holy-wood-dust/</v>
      </c>
      <c r="D226" s="7" t="s">
        <v>2756</v>
      </c>
      <c r="E226" s="5"/>
      <c r="F226" s="5" t="s">
        <v>81</v>
      </c>
      <c r="G226" s="5" t="s">
        <v>970</v>
      </c>
      <c r="H226" s="5" t="s">
        <v>83</v>
      </c>
      <c r="I226" s="8">
        <v>105.0</v>
      </c>
      <c r="J226" s="9" t="s">
        <v>98</v>
      </c>
      <c r="K226" s="5" t="s">
        <v>2757</v>
      </c>
      <c r="L226" s="5" t="s">
        <v>83</v>
      </c>
      <c r="M226" s="5"/>
      <c r="N226" s="5"/>
      <c r="O226" s="5"/>
      <c r="P226" s="5" t="s">
        <v>2758</v>
      </c>
      <c r="Q226" s="5" t="s">
        <v>2759</v>
      </c>
      <c r="R226" s="5" t="s">
        <v>2760</v>
      </c>
      <c r="S226" s="5" t="s">
        <v>2761</v>
      </c>
      <c r="T226" s="5" t="s">
        <v>2762</v>
      </c>
      <c r="U226" s="5" t="s">
        <v>2763</v>
      </c>
      <c r="V226" s="5" t="s">
        <v>2764</v>
      </c>
      <c r="W226" s="5" t="s">
        <v>2765</v>
      </c>
      <c r="X226" s="5" t="s">
        <v>2766</v>
      </c>
      <c r="Y226" s="5" t="s">
        <v>2767</v>
      </c>
      <c r="Z226" s="5">
        <v>3.0</v>
      </c>
      <c r="AA226" s="5">
        <v>2025.0</v>
      </c>
      <c r="AB226" s="5" t="s">
        <v>83</v>
      </c>
    </row>
    <row r="227" ht="15.75" customHeight="1">
      <c r="A227" s="4" t="s">
        <v>2768</v>
      </c>
      <c r="B227" s="5" t="s">
        <v>2744</v>
      </c>
      <c r="C227" s="12" t="s">
        <v>2769</v>
      </c>
      <c r="D227" s="7" t="s">
        <v>2770</v>
      </c>
      <c r="E227" s="5" t="s">
        <v>2771</v>
      </c>
      <c r="F227" s="5" t="s">
        <v>32</v>
      </c>
      <c r="G227" s="5" t="s">
        <v>2772</v>
      </c>
      <c r="H227" s="5" t="s">
        <v>83</v>
      </c>
      <c r="I227" s="8">
        <v>76.0</v>
      </c>
      <c r="J227" s="9" t="s">
        <v>35</v>
      </c>
      <c r="K227" s="5" t="s">
        <v>2773</v>
      </c>
      <c r="L227" s="5" t="s">
        <v>83</v>
      </c>
      <c r="M227" s="5"/>
      <c r="N227" s="5"/>
      <c r="O227" s="5"/>
      <c r="P227" s="5" t="s">
        <v>2774</v>
      </c>
      <c r="Q227" s="5"/>
      <c r="R227" s="5" t="s">
        <v>2775</v>
      </c>
      <c r="S227" s="5" t="s">
        <v>2776</v>
      </c>
      <c r="T227" s="5" t="s">
        <v>2774</v>
      </c>
      <c r="U227" s="5" t="s">
        <v>2777</v>
      </c>
      <c r="V227" s="5"/>
      <c r="W227" s="5"/>
      <c r="X227" s="5" t="s">
        <v>2778</v>
      </c>
      <c r="Y227" s="5" t="s">
        <v>2779</v>
      </c>
      <c r="Z227" s="5">
        <v>3.0</v>
      </c>
      <c r="AA227" s="5">
        <v>2026.0</v>
      </c>
      <c r="AB227" s="5" t="s">
        <v>83</v>
      </c>
    </row>
    <row r="228" ht="15.75" customHeight="1">
      <c r="A228" s="4" t="s">
        <v>2780</v>
      </c>
      <c r="B228" s="5" t="s">
        <v>2744</v>
      </c>
      <c r="C228" s="12" t="str">
        <f>"https://" &amp; "letterboxd" &amp; ".com/film/omur-boyu/"</f>
        <v>https://letterboxd.com/film/omur-boyu/</v>
      </c>
      <c r="D228" s="7" t="s">
        <v>2781</v>
      </c>
      <c r="E228" s="5" t="s">
        <v>2782</v>
      </c>
      <c r="F228" s="5" t="s">
        <v>32</v>
      </c>
      <c r="G228" s="5" t="s">
        <v>2783</v>
      </c>
      <c r="H228" s="5" t="s">
        <v>83</v>
      </c>
      <c r="I228" s="8">
        <v>88.0</v>
      </c>
      <c r="J228" s="9" t="s">
        <v>35</v>
      </c>
      <c r="K228" s="5" t="s">
        <v>2784</v>
      </c>
      <c r="L228" s="5" t="s">
        <v>83</v>
      </c>
      <c r="M228" s="5"/>
      <c r="N228" s="5"/>
      <c r="O228" s="5"/>
      <c r="P228" s="5" t="s">
        <v>2785</v>
      </c>
      <c r="Q228" s="5"/>
      <c r="R228" s="5" t="s">
        <v>2786</v>
      </c>
      <c r="S228" s="5" t="s">
        <v>2787</v>
      </c>
      <c r="T228" s="5" t="s">
        <v>2788</v>
      </c>
      <c r="U228" s="5" t="s">
        <v>2789</v>
      </c>
      <c r="V228" s="5"/>
      <c r="W228" s="5" t="s">
        <v>2790</v>
      </c>
      <c r="X228" s="5" t="s">
        <v>2791</v>
      </c>
      <c r="Y228" s="5" t="s">
        <v>2792</v>
      </c>
      <c r="Z228" s="5">
        <v>3.0</v>
      </c>
      <c r="AA228" s="5">
        <v>2026.0</v>
      </c>
      <c r="AB228" s="5" t="s">
        <v>83</v>
      </c>
    </row>
    <row r="229" ht="15.75" customHeight="1">
      <c r="A229" s="4" t="s">
        <v>2793</v>
      </c>
      <c r="B229" s="5" t="s">
        <v>2744</v>
      </c>
      <c r="C229" s="12" t="s">
        <v>2794</v>
      </c>
      <c r="D229" s="7" t="s">
        <v>2795</v>
      </c>
      <c r="E229" s="5" t="s">
        <v>2796</v>
      </c>
      <c r="F229" s="5" t="s">
        <v>32</v>
      </c>
      <c r="G229" s="5" t="s">
        <v>2797</v>
      </c>
      <c r="H229" s="5" t="s">
        <v>83</v>
      </c>
      <c r="I229" s="8">
        <v>82.0</v>
      </c>
      <c r="J229" s="9" t="s">
        <v>35</v>
      </c>
      <c r="K229" s="5" t="s">
        <v>2798</v>
      </c>
      <c r="L229" s="5" t="s">
        <v>83</v>
      </c>
      <c r="M229" s="5"/>
      <c r="N229" s="5"/>
      <c r="O229" s="5"/>
      <c r="P229" s="5" t="s">
        <v>2799</v>
      </c>
      <c r="Q229" s="5" t="s">
        <v>2800</v>
      </c>
      <c r="R229" s="5" t="s">
        <v>2801</v>
      </c>
      <c r="S229" s="5" t="s">
        <v>2802</v>
      </c>
      <c r="T229" s="5" t="s">
        <v>2800</v>
      </c>
      <c r="U229" s="5" t="s">
        <v>2803</v>
      </c>
      <c r="V229" s="5"/>
      <c r="W229" s="5" t="s">
        <v>2804</v>
      </c>
      <c r="X229" s="5" t="s">
        <v>2805</v>
      </c>
      <c r="Y229" s="5" t="s">
        <v>2806</v>
      </c>
      <c r="Z229" s="5">
        <v>3.0</v>
      </c>
      <c r="AA229" s="5">
        <v>2026.0</v>
      </c>
      <c r="AB229" s="5" t="s">
        <v>83</v>
      </c>
    </row>
    <row r="230" ht="15.75" customHeight="1">
      <c r="A230" s="4" t="s">
        <v>2807</v>
      </c>
      <c r="B230" s="5" t="s">
        <v>2744</v>
      </c>
      <c r="C230" s="12" t="s">
        <v>2808</v>
      </c>
      <c r="D230" s="7" t="s">
        <v>2809</v>
      </c>
      <c r="E230" s="5" t="s">
        <v>2810</v>
      </c>
      <c r="F230" s="5" t="s">
        <v>32</v>
      </c>
      <c r="G230" s="5" t="s">
        <v>144</v>
      </c>
      <c r="H230" s="5" t="s">
        <v>83</v>
      </c>
      <c r="I230" s="8">
        <v>104.0</v>
      </c>
      <c r="J230" s="9" t="s">
        <v>35</v>
      </c>
      <c r="K230" s="5" t="s">
        <v>2811</v>
      </c>
      <c r="L230" s="5" t="s">
        <v>83</v>
      </c>
      <c r="M230" s="5"/>
      <c r="N230" s="5"/>
      <c r="O230" s="5"/>
      <c r="P230" s="5" t="s">
        <v>2812</v>
      </c>
      <c r="Q230" s="5"/>
      <c r="R230" s="5"/>
      <c r="S230" s="5" t="s">
        <v>2813</v>
      </c>
      <c r="T230" s="5" t="s">
        <v>2814</v>
      </c>
      <c r="U230" s="5" t="s">
        <v>2815</v>
      </c>
      <c r="V230" s="5" t="s">
        <v>2816</v>
      </c>
      <c r="W230" s="5"/>
      <c r="X230" s="5" t="s">
        <v>2817</v>
      </c>
      <c r="Y230" s="5" t="s">
        <v>2818</v>
      </c>
      <c r="Z230" s="5">
        <v>3.0</v>
      </c>
      <c r="AA230" s="5">
        <v>2026.0</v>
      </c>
      <c r="AB230" s="5" t="s">
        <v>83</v>
      </c>
    </row>
    <row r="231" ht="15.75" customHeight="1">
      <c r="A231" s="4" t="s">
        <v>2819</v>
      </c>
      <c r="B231" s="5" t="s">
        <v>2820</v>
      </c>
      <c r="C231" s="12" t="str">
        <f>"https://" &amp; "letterboxd" &amp; ".com/film/100-dias-2026/"</f>
        <v>https://letterboxd.com/film/100-dias-2026/</v>
      </c>
      <c r="D231" s="7" t="s">
        <v>2821</v>
      </c>
      <c r="E231" s="5"/>
      <c r="F231" s="5" t="s">
        <v>81</v>
      </c>
      <c r="G231" s="5" t="s">
        <v>2138</v>
      </c>
      <c r="H231" s="5" t="s">
        <v>34</v>
      </c>
      <c r="I231" s="8">
        <v>116.0</v>
      </c>
      <c r="J231" s="9" t="s">
        <v>35</v>
      </c>
      <c r="K231" s="5" t="s">
        <v>2138</v>
      </c>
      <c r="L231" s="5" t="s">
        <v>34</v>
      </c>
      <c r="M231" s="5"/>
      <c r="N231" s="5"/>
      <c r="O231" s="5"/>
      <c r="P231" s="5" t="s">
        <v>2822</v>
      </c>
      <c r="Q231" s="5" t="s">
        <v>2823</v>
      </c>
      <c r="R231" s="5" t="s">
        <v>2824</v>
      </c>
      <c r="S231" s="5" t="s">
        <v>2825</v>
      </c>
      <c r="T231" s="5" t="s">
        <v>2826</v>
      </c>
      <c r="U231" s="5" t="s">
        <v>2827</v>
      </c>
      <c r="V231" s="5" t="s">
        <v>2828</v>
      </c>
      <c r="W231" s="5" t="s">
        <v>2829</v>
      </c>
      <c r="X231" s="5" t="s">
        <v>2830</v>
      </c>
      <c r="Y231" s="5" t="s">
        <v>2831</v>
      </c>
      <c r="Z231" s="5">
        <v>1.0</v>
      </c>
      <c r="AA231" s="5">
        <v>2026.0</v>
      </c>
      <c r="AB231" s="5" t="s">
        <v>34</v>
      </c>
    </row>
    <row r="232" ht="15.75" customHeight="1">
      <c r="A232" s="4" t="s">
        <v>2832</v>
      </c>
      <c r="B232" s="5" t="s">
        <v>2820</v>
      </c>
      <c r="C232" s="12" t="str">
        <f>"https://" &amp; "letterboxd" &amp; ".com/film/144-apocalipse-nao/"</f>
        <v>https://letterboxd.com/film/144-apocalipse-nao/</v>
      </c>
      <c r="D232" s="7" t="s">
        <v>2833</v>
      </c>
      <c r="E232" s="5"/>
      <c r="F232" s="5" t="s">
        <v>81</v>
      </c>
      <c r="G232" s="5" t="s">
        <v>1153</v>
      </c>
      <c r="H232" s="5" t="s">
        <v>83</v>
      </c>
      <c r="I232" s="8">
        <v>84.0</v>
      </c>
      <c r="J232" s="9" t="s">
        <v>35</v>
      </c>
      <c r="K232" s="5" t="s">
        <v>2834</v>
      </c>
      <c r="L232" s="5" t="s">
        <v>83</v>
      </c>
      <c r="M232" s="5"/>
      <c r="N232" s="5"/>
      <c r="O232" s="5"/>
      <c r="P232" s="5" t="s">
        <v>2835</v>
      </c>
      <c r="Q232" s="5" t="s">
        <v>2835</v>
      </c>
      <c r="R232" s="5" t="s">
        <v>2836</v>
      </c>
      <c r="S232" s="5" t="s">
        <v>2837</v>
      </c>
      <c r="T232" s="5" t="s">
        <v>2838</v>
      </c>
      <c r="U232" s="5" t="s">
        <v>2839</v>
      </c>
      <c r="V232" s="5" t="s">
        <v>2840</v>
      </c>
      <c r="W232" s="5"/>
      <c r="X232" s="5" t="s">
        <v>2841</v>
      </c>
      <c r="Y232" s="5" t="s">
        <v>2842</v>
      </c>
      <c r="Z232" s="5">
        <v>4.0</v>
      </c>
      <c r="AA232" s="5">
        <v>2026.0</v>
      </c>
      <c r="AB232" s="5" t="s">
        <v>83</v>
      </c>
    </row>
    <row r="233" ht="15.75" customHeight="1">
      <c r="A233" s="4" t="s">
        <v>2843</v>
      </c>
      <c r="B233" s="5" t="s">
        <v>2820</v>
      </c>
      <c r="C233" s="12" t="s">
        <v>2844</v>
      </c>
      <c r="D233" s="7" t="s">
        <v>2845</v>
      </c>
      <c r="E233" s="5"/>
      <c r="F233" s="5" t="s">
        <v>81</v>
      </c>
      <c r="G233" s="5" t="s">
        <v>2138</v>
      </c>
      <c r="H233" s="5" t="s">
        <v>34</v>
      </c>
      <c r="I233" s="8">
        <v>14.0</v>
      </c>
      <c r="J233" s="9" t="s">
        <v>35</v>
      </c>
      <c r="K233" s="5" t="s">
        <v>2138</v>
      </c>
      <c r="L233" s="5" t="s">
        <v>34</v>
      </c>
      <c r="M233" s="5"/>
      <c r="N233" s="5"/>
      <c r="O233" s="5"/>
      <c r="P233" s="5" t="s">
        <v>2846</v>
      </c>
      <c r="Q233" s="5" t="s">
        <v>2846</v>
      </c>
      <c r="R233" s="5" t="s">
        <v>2847</v>
      </c>
      <c r="S233" s="5" t="s">
        <v>2848</v>
      </c>
      <c r="T233" s="5" t="s">
        <v>2849</v>
      </c>
      <c r="U233" s="5" t="s">
        <v>2850</v>
      </c>
      <c r="V233" s="5" t="s">
        <v>2851</v>
      </c>
      <c r="W233" s="5" t="s">
        <v>2852</v>
      </c>
      <c r="X233" s="5" t="s">
        <v>2853</v>
      </c>
      <c r="Y233" s="5" t="s">
        <v>2854</v>
      </c>
      <c r="Z233" s="5">
        <v>4.0</v>
      </c>
      <c r="AA233" s="5">
        <v>2026.0</v>
      </c>
      <c r="AB233" s="5" t="s">
        <v>34</v>
      </c>
    </row>
    <row r="234" ht="15.75" customHeight="1">
      <c r="A234" s="4" t="s">
        <v>2855</v>
      </c>
      <c r="B234" s="5" t="s">
        <v>2820</v>
      </c>
      <c r="C234" s="12" t="str">
        <f>"https://" &amp; "letterboxd" &amp; ".com/film/a-casa-de-dona-carlota/"</f>
        <v>https://letterboxd.com/film/a-casa-de-dona-carlota/</v>
      </c>
      <c r="D234" s="7" t="s">
        <v>2856</v>
      </c>
      <c r="E234" s="5" t="s">
        <v>2857</v>
      </c>
      <c r="F234" s="5" t="s">
        <v>32</v>
      </c>
      <c r="G234" s="5" t="s">
        <v>2138</v>
      </c>
      <c r="H234" s="5" t="s">
        <v>34</v>
      </c>
      <c r="I234" s="8">
        <v>15.0</v>
      </c>
      <c r="J234" s="9" t="s">
        <v>35</v>
      </c>
      <c r="K234" s="5" t="s">
        <v>2138</v>
      </c>
      <c r="L234" s="5" t="s">
        <v>34</v>
      </c>
      <c r="M234" s="5"/>
      <c r="N234" s="5"/>
      <c r="O234" s="5"/>
      <c r="P234" s="5" t="s">
        <v>2858</v>
      </c>
      <c r="Q234" s="5" t="s">
        <v>2858</v>
      </c>
      <c r="R234" s="5" t="s">
        <v>2859</v>
      </c>
      <c r="S234" s="5" t="s">
        <v>2860</v>
      </c>
      <c r="T234" s="5" t="s">
        <v>2861</v>
      </c>
      <c r="U234" s="5"/>
      <c r="V234" s="5" t="s">
        <v>2862</v>
      </c>
      <c r="W234" s="5" t="s">
        <v>2863</v>
      </c>
      <c r="X234" s="5" t="s">
        <v>2864</v>
      </c>
      <c r="Y234" s="5" t="s">
        <v>2865</v>
      </c>
      <c r="Z234" s="5">
        <v>4.0</v>
      </c>
      <c r="AA234" s="5">
        <v>2026.0</v>
      </c>
      <c r="AB234" s="5" t="s">
        <v>34</v>
      </c>
    </row>
    <row r="235" ht="15.75" customHeight="1">
      <c r="A235" s="4" t="s">
        <v>2866</v>
      </c>
      <c r="B235" s="5" t="s">
        <v>2820</v>
      </c>
      <c r="C235" s="12" t="str">
        <f>"https://" &amp; "letterboxd" &amp; ".com/film/a-casa-do-pai-2026/"</f>
        <v>https://letterboxd.com/film/a-casa-do-pai-2026/</v>
      </c>
      <c r="D235" s="7" t="s">
        <v>2867</v>
      </c>
      <c r="E235" s="5" t="s">
        <v>2868</v>
      </c>
      <c r="F235" s="5" t="s">
        <v>32</v>
      </c>
      <c r="G235" s="5" t="s">
        <v>2138</v>
      </c>
      <c r="H235" s="5" t="s">
        <v>34</v>
      </c>
      <c r="I235" s="8">
        <v>23.0</v>
      </c>
      <c r="J235" s="9" t="s">
        <v>35</v>
      </c>
      <c r="K235" s="5" t="s">
        <v>2138</v>
      </c>
      <c r="L235" s="5" t="s">
        <v>34</v>
      </c>
      <c r="M235" s="5"/>
      <c r="N235" s="5"/>
      <c r="O235" s="5"/>
      <c r="P235" s="5" t="s">
        <v>2869</v>
      </c>
      <c r="Q235" s="5" t="s">
        <v>2870</v>
      </c>
      <c r="R235" s="5" t="s">
        <v>2871</v>
      </c>
      <c r="S235" s="5" t="s">
        <v>2872</v>
      </c>
      <c r="T235" s="5" t="s">
        <v>2873</v>
      </c>
      <c r="U235" s="5" t="s">
        <v>2874</v>
      </c>
      <c r="V235" s="5" t="s">
        <v>2875</v>
      </c>
      <c r="W235" s="5" t="s">
        <v>2876</v>
      </c>
      <c r="X235" s="5" t="s">
        <v>2877</v>
      </c>
      <c r="Y235" s="5" t="s">
        <v>2878</v>
      </c>
      <c r="Z235" s="5">
        <v>1.0</v>
      </c>
      <c r="AA235" s="5">
        <v>2026.0</v>
      </c>
      <c r="AB235" s="5" t="s">
        <v>34</v>
      </c>
    </row>
    <row r="236" ht="15.75" customHeight="1">
      <c r="A236" s="4" t="s">
        <v>2879</v>
      </c>
      <c r="B236" s="5" t="s">
        <v>2820</v>
      </c>
      <c r="C236" s="12" t="str">
        <f>"https://" &amp; "letterboxd" &amp; ".com/film/a-extraordinaria-vida-de-vera-valdez/"</f>
        <v>https://letterboxd.com/film/a-extraordinaria-vida-de-vera-valdez/</v>
      </c>
      <c r="D236" s="7" t="s">
        <v>2880</v>
      </c>
      <c r="E236" s="5" t="s">
        <v>2881</v>
      </c>
      <c r="F236" s="5" t="s">
        <v>32</v>
      </c>
      <c r="G236" s="5" t="s">
        <v>2138</v>
      </c>
      <c r="H236" s="5" t="s">
        <v>83</v>
      </c>
      <c r="I236" s="8">
        <v>78.0</v>
      </c>
      <c r="J236" s="9" t="s">
        <v>35</v>
      </c>
      <c r="K236" s="5" t="s">
        <v>2138</v>
      </c>
      <c r="L236" s="5" t="s">
        <v>83</v>
      </c>
      <c r="M236" s="5"/>
      <c r="N236" s="5"/>
      <c r="O236" s="5"/>
      <c r="P236" s="5" t="s">
        <v>2882</v>
      </c>
      <c r="Q236" s="5" t="s">
        <v>2882</v>
      </c>
      <c r="R236" s="5" t="s">
        <v>2883</v>
      </c>
      <c r="S236" s="5" t="s">
        <v>2884</v>
      </c>
      <c r="T236" s="5" t="s">
        <v>2885</v>
      </c>
      <c r="U236" s="5" t="s">
        <v>2886</v>
      </c>
      <c r="V236" s="5" t="s">
        <v>2887</v>
      </c>
      <c r="W236" s="5" t="s">
        <v>2888</v>
      </c>
      <c r="X236" s="5" t="s">
        <v>2889</v>
      </c>
      <c r="Y236" s="5" t="s">
        <v>2890</v>
      </c>
      <c r="Z236" s="5">
        <v>4.0</v>
      </c>
      <c r="AA236" s="5">
        <v>2026.0</v>
      </c>
      <c r="AB236" s="5" t="s">
        <v>83</v>
      </c>
    </row>
    <row r="237" ht="15.75" customHeight="1">
      <c r="A237" s="4" t="s">
        <v>2891</v>
      </c>
      <c r="B237" s="5" t="s">
        <v>2820</v>
      </c>
      <c r="C237" s="12" t="str">
        <f>"https://" &amp; "letterboxd" &amp; ".com/film/a-margem-do-rio/"</f>
        <v>https://letterboxd.com/film/a-margem-do-rio/</v>
      </c>
      <c r="D237" s="7" t="s">
        <v>2892</v>
      </c>
      <c r="E237" s="5" t="s">
        <v>2893</v>
      </c>
      <c r="F237" s="5" t="s">
        <v>32</v>
      </c>
      <c r="G237" s="5" t="s">
        <v>2113</v>
      </c>
      <c r="H237" s="5" t="s">
        <v>34</v>
      </c>
      <c r="I237" s="8">
        <v>117.0</v>
      </c>
      <c r="J237" s="9" t="s">
        <v>35</v>
      </c>
      <c r="K237" s="5" t="s">
        <v>2894</v>
      </c>
      <c r="L237" s="5" t="s">
        <v>34</v>
      </c>
      <c r="M237" s="5"/>
      <c r="N237" s="5"/>
      <c r="O237" s="5"/>
      <c r="P237" s="5" t="s">
        <v>2895</v>
      </c>
      <c r="Q237" s="5" t="s">
        <v>2895</v>
      </c>
      <c r="R237" s="5" t="s">
        <v>2896</v>
      </c>
      <c r="S237" s="5" t="s">
        <v>2897</v>
      </c>
      <c r="T237" s="5" t="s">
        <v>2898</v>
      </c>
      <c r="U237" s="5" t="s">
        <v>2899</v>
      </c>
      <c r="V237" s="5" t="s">
        <v>2900</v>
      </c>
      <c r="W237" s="5" t="s">
        <v>2901</v>
      </c>
      <c r="X237" s="5" t="s">
        <v>2902</v>
      </c>
      <c r="Y237" s="5" t="s">
        <v>2903</v>
      </c>
      <c r="Z237" s="5">
        <v>4.0</v>
      </c>
      <c r="AA237" s="5">
        <v>2026.0</v>
      </c>
      <c r="AB237" s="5" t="s">
        <v>34</v>
      </c>
    </row>
    <row r="238" ht="15.75" customHeight="1">
      <c r="A238" s="4" t="s">
        <v>2904</v>
      </c>
      <c r="B238" s="5" t="s">
        <v>2820</v>
      </c>
      <c r="C238" s="12" t="s">
        <v>2905</v>
      </c>
      <c r="D238" s="7" t="s">
        <v>2906</v>
      </c>
      <c r="E238" s="5" t="s">
        <v>2907</v>
      </c>
      <c r="F238" s="5" t="s">
        <v>32</v>
      </c>
      <c r="G238" s="5" t="s">
        <v>1958</v>
      </c>
      <c r="H238" s="5" t="s">
        <v>34</v>
      </c>
      <c r="I238" s="8">
        <v>97.0</v>
      </c>
      <c r="J238" s="9" t="s">
        <v>35</v>
      </c>
      <c r="K238" s="5" t="s">
        <v>2908</v>
      </c>
      <c r="L238" s="5" t="s">
        <v>34</v>
      </c>
      <c r="M238" s="5"/>
      <c r="N238" s="5"/>
      <c r="O238" s="5"/>
      <c r="P238" s="5" t="s">
        <v>2909</v>
      </c>
      <c r="Q238" s="5" t="s">
        <v>2910</v>
      </c>
      <c r="R238" s="5" t="s">
        <v>2911</v>
      </c>
      <c r="S238" s="5" t="s">
        <v>2912</v>
      </c>
      <c r="T238" s="5" t="s">
        <v>2913</v>
      </c>
      <c r="U238" s="5" t="s">
        <v>2914</v>
      </c>
      <c r="V238" s="5" t="s">
        <v>308</v>
      </c>
      <c r="W238" s="5" t="s">
        <v>2915</v>
      </c>
      <c r="X238" s="5" t="s">
        <v>2916</v>
      </c>
      <c r="Y238" s="5" t="s">
        <v>2917</v>
      </c>
      <c r="Z238" s="5">
        <v>4.0</v>
      </c>
      <c r="AA238" s="5">
        <v>2026.0</v>
      </c>
      <c r="AB238" s="5" t="s">
        <v>34</v>
      </c>
    </row>
    <row r="239" ht="15.75" customHeight="1">
      <c r="A239" s="4" t="s">
        <v>2918</v>
      </c>
      <c r="B239" s="5" t="s">
        <v>2820</v>
      </c>
      <c r="C239" s="12" t="str">
        <f>"https://" &amp; "letterboxd" &amp; ".com/film/a-ultima-noite-2026/"</f>
        <v>https://letterboxd.com/film/a-ultima-noite-2026/</v>
      </c>
      <c r="D239" s="7" t="s">
        <v>2919</v>
      </c>
      <c r="E239" s="5" t="s">
        <v>2920</v>
      </c>
      <c r="F239" s="5" t="s">
        <v>32</v>
      </c>
      <c r="G239" s="5" t="s">
        <v>2138</v>
      </c>
      <c r="H239" s="5" t="s">
        <v>34</v>
      </c>
      <c r="I239" s="8">
        <v>94.0</v>
      </c>
      <c r="J239" s="9" t="s">
        <v>35</v>
      </c>
      <c r="K239" s="5" t="s">
        <v>2138</v>
      </c>
      <c r="L239" s="5" t="s">
        <v>34</v>
      </c>
      <c r="M239" s="5"/>
      <c r="N239" s="5"/>
      <c r="O239" s="5"/>
      <c r="P239" s="5" t="s">
        <v>2921</v>
      </c>
      <c r="Q239" s="5" t="s">
        <v>2922</v>
      </c>
      <c r="R239" s="5" t="s">
        <v>2923</v>
      </c>
      <c r="S239" s="5" t="s">
        <v>2922</v>
      </c>
      <c r="T239" s="5" t="s">
        <v>2924</v>
      </c>
      <c r="U239" s="5" t="s">
        <v>2925</v>
      </c>
      <c r="V239" s="5" t="s">
        <v>2926</v>
      </c>
      <c r="W239" s="5" t="s">
        <v>2927</v>
      </c>
      <c r="X239" s="5" t="s">
        <v>2928</v>
      </c>
      <c r="Y239" s="5" t="s">
        <v>2929</v>
      </c>
      <c r="Z239" s="5">
        <v>3.0</v>
      </c>
      <c r="AA239" s="5">
        <v>2026.0</v>
      </c>
      <c r="AB239" s="5" t="s">
        <v>34</v>
      </c>
    </row>
    <row r="240" ht="15.75" customHeight="1">
      <c r="A240" s="4" t="s">
        <v>2930</v>
      </c>
      <c r="B240" s="5" t="s">
        <v>2820</v>
      </c>
      <c r="C240" s="12" t="str">
        <f>"https://" &amp; "letterboxd" &amp; ".com/film/aldir-blanc-resposta-ao-tempo/"</f>
        <v>https://letterboxd.com/film/aldir-blanc-resposta-ao-tempo/</v>
      </c>
      <c r="D240" s="7" t="s">
        <v>2931</v>
      </c>
      <c r="E240" s="5"/>
      <c r="F240" s="5" t="s">
        <v>81</v>
      </c>
      <c r="G240" s="5" t="s">
        <v>2138</v>
      </c>
      <c r="H240" s="5" t="s">
        <v>83</v>
      </c>
      <c r="I240" s="8">
        <v>92.0</v>
      </c>
      <c r="J240" s="9" t="s">
        <v>35</v>
      </c>
      <c r="K240" s="5" t="s">
        <v>2138</v>
      </c>
      <c r="L240" s="5" t="s">
        <v>83</v>
      </c>
      <c r="M240" s="5"/>
      <c r="N240" s="5"/>
      <c r="O240" s="5"/>
      <c r="P240" s="5" t="s">
        <v>2932</v>
      </c>
      <c r="Q240" s="5" t="s">
        <v>2932</v>
      </c>
      <c r="R240" s="5" t="s">
        <v>2933</v>
      </c>
      <c r="S240" s="5" t="s">
        <v>2934</v>
      </c>
      <c r="T240" s="5" t="s">
        <v>2935</v>
      </c>
      <c r="U240" s="5" t="s">
        <v>2936</v>
      </c>
      <c r="V240" s="5"/>
      <c r="W240" s="5" t="s">
        <v>2937</v>
      </c>
      <c r="X240" s="5" t="s">
        <v>2938</v>
      </c>
      <c r="Y240" s="5" t="s">
        <v>2939</v>
      </c>
      <c r="Z240" s="5">
        <v>3.0</v>
      </c>
      <c r="AA240" s="5">
        <v>2026.0</v>
      </c>
      <c r="AB240" s="5" t="s">
        <v>83</v>
      </c>
    </row>
    <row r="241" ht="15.75" customHeight="1">
      <c r="A241" s="4" t="s">
        <v>2940</v>
      </c>
      <c r="B241" s="5" t="s">
        <v>2820</v>
      </c>
      <c r="C241" s="12" t="str">
        <f>"https://" &amp; "letterboxd" &amp; ".com/film/alegria-brasil-estrelando-maria-alcina/"</f>
        <v>https://letterboxd.com/film/alegria-brasil-estrelando-maria-alcina/</v>
      </c>
      <c r="D241" s="7" t="s">
        <v>2941</v>
      </c>
      <c r="E241" s="5"/>
      <c r="F241" s="5" t="s">
        <v>81</v>
      </c>
      <c r="G241" s="5" t="s">
        <v>2138</v>
      </c>
      <c r="H241" s="5" t="s">
        <v>83</v>
      </c>
      <c r="I241" s="8">
        <v>90.0</v>
      </c>
      <c r="J241" s="9" t="s">
        <v>35</v>
      </c>
      <c r="K241" s="5" t="s">
        <v>2138</v>
      </c>
      <c r="L241" s="5" t="s">
        <v>83</v>
      </c>
      <c r="M241" s="5"/>
      <c r="N241" s="5"/>
      <c r="O241" s="5"/>
      <c r="P241" s="5" t="s">
        <v>2942</v>
      </c>
      <c r="Q241" s="5" t="s">
        <v>2942</v>
      </c>
      <c r="R241" s="5" t="s">
        <v>2943</v>
      </c>
      <c r="S241" s="5" t="s">
        <v>2942</v>
      </c>
      <c r="T241" s="5" t="s">
        <v>2944</v>
      </c>
      <c r="U241" s="5" t="s">
        <v>2945</v>
      </c>
      <c r="V241" s="5" t="s">
        <v>2946</v>
      </c>
      <c r="W241" s="5" t="s">
        <v>2947</v>
      </c>
      <c r="X241" s="5" t="s">
        <v>2948</v>
      </c>
      <c r="Y241" s="5" t="s">
        <v>2949</v>
      </c>
      <c r="Z241" s="5">
        <v>2.0</v>
      </c>
      <c r="AA241" s="5">
        <v>2026.0</v>
      </c>
      <c r="AB241" s="5" t="s">
        <v>83</v>
      </c>
    </row>
    <row r="242" ht="15.75" customHeight="1">
      <c r="A242" s="4" t="s">
        <v>2950</v>
      </c>
      <c r="B242" s="5" t="s">
        <v>2820</v>
      </c>
      <c r="C242" s="12" t="str">
        <f>"https://" &amp; "letterboxd" &amp; ".com/film/alucinacao-2025/"</f>
        <v>https://letterboxd.com/film/alucinacao-2025/</v>
      </c>
      <c r="D242" s="7" t="s">
        <v>2951</v>
      </c>
      <c r="E242" s="5"/>
      <c r="F242" s="5" t="s">
        <v>81</v>
      </c>
      <c r="G242" s="5" t="s">
        <v>2138</v>
      </c>
      <c r="H242" s="5" t="s">
        <v>83</v>
      </c>
      <c r="I242" s="8">
        <v>114.0</v>
      </c>
      <c r="J242" s="9" t="s">
        <v>98</v>
      </c>
      <c r="K242" s="5" t="s">
        <v>2138</v>
      </c>
      <c r="L242" s="5" t="s">
        <v>83</v>
      </c>
      <c r="M242" s="5"/>
      <c r="N242" s="5"/>
      <c r="O242" s="5"/>
      <c r="P242" s="5" t="s">
        <v>2952</v>
      </c>
      <c r="Q242" s="5" t="s">
        <v>2953</v>
      </c>
      <c r="R242" s="5" t="s">
        <v>2954</v>
      </c>
      <c r="S242" s="5" t="s">
        <v>2955</v>
      </c>
      <c r="T242" s="5"/>
      <c r="U242" s="5" t="s">
        <v>2956</v>
      </c>
      <c r="V242" s="5"/>
      <c r="W242" s="5"/>
      <c r="X242" s="5" t="s">
        <v>2957</v>
      </c>
      <c r="Y242" s="5" t="s">
        <v>2958</v>
      </c>
      <c r="Z242" s="5">
        <v>4.0</v>
      </c>
      <c r="AA242" s="5">
        <v>2025.0</v>
      </c>
      <c r="AB242" s="5" t="s">
        <v>83</v>
      </c>
    </row>
    <row r="243" ht="15.75" customHeight="1">
      <c r="A243" s="4" t="s">
        <v>2959</v>
      </c>
      <c r="B243" s="5" t="s">
        <v>2820</v>
      </c>
      <c r="C243" s="12" t="s">
        <v>2960</v>
      </c>
      <c r="D243" s="7" t="s">
        <v>2961</v>
      </c>
      <c r="E243" s="5"/>
      <c r="F243" s="5" t="s">
        <v>81</v>
      </c>
      <c r="G243" s="5" t="s">
        <v>2138</v>
      </c>
      <c r="H243" s="5" t="s">
        <v>795</v>
      </c>
      <c r="I243" s="8">
        <v>104.0</v>
      </c>
      <c r="J243" s="9" t="s">
        <v>35</v>
      </c>
      <c r="K243" s="5" t="s">
        <v>2138</v>
      </c>
      <c r="L243" s="5" t="s">
        <v>795</v>
      </c>
      <c r="M243" s="5"/>
      <c r="N243" s="5"/>
      <c r="O243" s="5"/>
      <c r="P243" s="5" t="s">
        <v>2962</v>
      </c>
      <c r="Q243" s="5" t="s">
        <v>2963</v>
      </c>
      <c r="R243" s="5" t="s">
        <v>2964</v>
      </c>
      <c r="S243" s="5" t="s">
        <v>2965</v>
      </c>
      <c r="T243" s="5" t="s">
        <v>2966</v>
      </c>
      <c r="U243" s="5" t="s">
        <v>2967</v>
      </c>
      <c r="V243" s="5" t="s">
        <v>2968</v>
      </c>
      <c r="W243" s="5" t="s">
        <v>2969</v>
      </c>
      <c r="X243" s="5" t="s">
        <v>2970</v>
      </c>
      <c r="Y243" s="5" t="s">
        <v>2971</v>
      </c>
      <c r="Z243" s="5">
        <v>2.0</v>
      </c>
      <c r="AA243" s="5">
        <v>2026.0</v>
      </c>
      <c r="AB243" s="5" t="s">
        <v>795</v>
      </c>
    </row>
    <row r="244" ht="15.75" customHeight="1">
      <c r="A244" s="4" t="s">
        <v>2972</v>
      </c>
      <c r="B244" s="5" t="s">
        <v>2820</v>
      </c>
      <c r="C244" s="12" t="s">
        <v>2973</v>
      </c>
      <c r="D244" s="7" t="s">
        <v>2974</v>
      </c>
      <c r="E244" s="5" t="s">
        <v>2975</v>
      </c>
      <c r="F244" s="5" t="s">
        <v>32</v>
      </c>
      <c r="G244" s="5" t="s">
        <v>2138</v>
      </c>
      <c r="H244" s="5" t="s">
        <v>83</v>
      </c>
      <c r="I244" s="8">
        <v>88.0</v>
      </c>
      <c r="J244" s="9" t="s">
        <v>35</v>
      </c>
      <c r="K244" s="5" t="s">
        <v>2138</v>
      </c>
      <c r="L244" s="5" t="s">
        <v>83</v>
      </c>
      <c r="M244" s="5"/>
      <c r="N244" s="5"/>
      <c r="O244" s="5"/>
      <c r="P244" s="5" t="s">
        <v>2976</v>
      </c>
      <c r="Q244" s="5" t="s">
        <v>2977</v>
      </c>
      <c r="R244" s="5" t="s">
        <v>2978</v>
      </c>
      <c r="S244" s="5"/>
      <c r="T244" s="5" t="s">
        <v>2979</v>
      </c>
      <c r="U244" s="5" t="s">
        <v>2976</v>
      </c>
      <c r="V244" s="5" t="s">
        <v>2980</v>
      </c>
      <c r="W244" s="5" t="s">
        <v>2981</v>
      </c>
      <c r="X244" s="5" t="s">
        <v>2982</v>
      </c>
      <c r="Y244" s="5" t="s">
        <v>2983</v>
      </c>
      <c r="Z244" s="5">
        <v>3.0</v>
      </c>
      <c r="AA244" s="5">
        <v>2026.0</v>
      </c>
      <c r="AB244" s="5" t="s">
        <v>83</v>
      </c>
    </row>
    <row r="245" ht="15.75" customHeight="1">
      <c r="A245" s="4" t="s">
        <v>2984</v>
      </c>
      <c r="B245" s="5" t="s">
        <v>2820</v>
      </c>
      <c r="C245" s="12" t="str">
        <f>"https://" &amp; "letterboxd" &amp; ".com/film/amor-inteligente/"</f>
        <v>https://letterboxd.com/film/amor-inteligente/</v>
      </c>
      <c r="D245" s="7" t="s">
        <v>2985</v>
      </c>
      <c r="E245" s="5"/>
      <c r="F245" s="5" t="s">
        <v>81</v>
      </c>
      <c r="G245" s="5" t="s">
        <v>2138</v>
      </c>
      <c r="H245" s="5" t="s">
        <v>34</v>
      </c>
      <c r="I245" s="8">
        <v>14.0</v>
      </c>
      <c r="J245" s="9" t="s">
        <v>35</v>
      </c>
      <c r="K245" s="5" t="s">
        <v>2138</v>
      </c>
      <c r="L245" s="5" t="s">
        <v>34</v>
      </c>
      <c r="M245" s="10"/>
      <c r="N245" s="10"/>
      <c r="O245" s="10"/>
      <c r="P245" s="10" t="s">
        <v>2986</v>
      </c>
      <c r="Q245" s="5"/>
      <c r="R245" s="5" t="s">
        <v>2987</v>
      </c>
      <c r="S245" s="5" t="s">
        <v>2988</v>
      </c>
      <c r="T245" s="5" t="s">
        <v>2989</v>
      </c>
      <c r="U245" s="5" t="s">
        <v>2990</v>
      </c>
      <c r="V245" s="5" t="s">
        <v>2991</v>
      </c>
      <c r="W245" s="5" t="s">
        <v>2992</v>
      </c>
      <c r="X245" s="5" t="s">
        <v>2993</v>
      </c>
      <c r="Y245" s="10" t="s">
        <v>2994</v>
      </c>
      <c r="Z245" s="5">
        <v>1.0</v>
      </c>
      <c r="AA245" s="5">
        <v>2026.0</v>
      </c>
      <c r="AB245" s="5" t="s">
        <v>34</v>
      </c>
    </row>
    <row r="246" ht="15.75" customHeight="1">
      <c r="A246" s="4" t="s">
        <v>2995</v>
      </c>
      <c r="B246" s="5" t="s">
        <v>2820</v>
      </c>
      <c r="C246" s="12" t="s">
        <v>2996</v>
      </c>
      <c r="D246" s="7" t="s">
        <v>2997</v>
      </c>
      <c r="E246" s="5"/>
      <c r="F246" s="5" t="s">
        <v>81</v>
      </c>
      <c r="G246" s="5" t="s">
        <v>2138</v>
      </c>
      <c r="H246" s="5" t="s">
        <v>34</v>
      </c>
      <c r="I246" s="8">
        <v>41.0</v>
      </c>
      <c r="J246" s="9" t="s">
        <v>35</v>
      </c>
      <c r="K246" s="5" t="s">
        <v>2138</v>
      </c>
      <c r="L246" s="5" t="s">
        <v>34</v>
      </c>
      <c r="M246" s="5"/>
      <c r="N246" s="5"/>
      <c r="O246" s="5"/>
      <c r="P246" s="5" t="s">
        <v>2998</v>
      </c>
      <c r="Q246" s="5" t="s">
        <v>2999</v>
      </c>
      <c r="R246" s="5" t="s">
        <v>3000</v>
      </c>
      <c r="S246" s="5" t="s">
        <v>3001</v>
      </c>
      <c r="T246" s="5" t="s">
        <v>3002</v>
      </c>
      <c r="U246" s="5" t="s">
        <v>3003</v>
      </c>
      <c r="V246" s="5" t="s">
        <v>3004</v>
      </c>
      <c r="W246" s="5" t="s">
        <v>3005</v>
      </c>
      <c r="X246" s="5" t="s">
        <v>3006</v>
      </c>
      <c r="Y246" s="5" t="s">
        <v>3007</v>
      </c>
      <c r="Z246" s="5">
        <v>1.0</v>
      </c>
      <c r="AA246" s="5">
        <v>2026.0</v>
      </c>
      <c r="AB246" s="5" t="s">
        <v>34</v>
      </c>
    </row>
    <row r="247" ht="15.75" customHeight="1">
      <c r="A247" s="4" t="s">
        <v>3008</v>
      </c>
      <c r="B247" s="5" t="s">
        <v>2820</v>
      </c>
      <c r="C247" s="12" t="str">
        <f>"https://" &amp; "letterboxd" &amp; ".com/film/as-dez-vantagens-de-morrer-depois-de-voce/"</f>
        <v>https://letterboxd.com/film/as-dez-vantagens-de-morrer-depois-de-voce/</v>
      </c>
      <c r="D247" s="7" t="s">
        <v>3009</v>
      </c>
      <c r="E247" s="5" t="s">
        <v>3010</v>
      </c>
      <c r="F247" s="5" t="s">
        <v>32</v>
      </c>
      <c r="G247" s="5" t="s">
        <v>2138</v>
      </c>
      <c r="H247" s="5" t="s">
        <v>34</v>
      </c>
      <c r="I247" s="8">
        <v>106.0</v>
      </c>
      <c r="J247" s="9" t="s">
        <v>35</v>
      </c>
      <c r="K247" s="5" t="s">
        <v>2138</v>
      </c>
      <c r="L247" s="5" t="s">
        <v>34</v>
      </c>
      <c r="M247" s="5"/>
      <c r="N247" s="5"/>
      <c r="O247" s="5"/>
      <c r="P247" s="5" t="s">
        <v>3011</v>
      </c>
      <c r="Q247" s="5" t="s">
        <v>3012</v>
      </c>
      <c r="R247" s="5" t="s">
        <v>2195</v>
      </c>
      <c r="S247" s="5" t="s">
        <v>3013</v>
      </c>
      <c r="T247" s="5" t="s">
        <v>3014</v>
      </c>
      <c r="U247" s="5" t="s">
        <v>3015</v>
      </c>
      <c r="V247" s="5" t="s">
        <v>3016</v>
      </c>
      <c r="W247" s="5" t="s">
        <v>3017</v>
      </c>
      <c r="X247" s="5" t="s">
        <v>3018</v>
      </c>
      <c r="Y247" s="5" t="s">
        <v>3019</v>
      </c>
      <c r="Z247" s="5">
        <v>2.0</v>
      </c>
      <c r="AA247" s="5">
        <v>2026.0</v>
      </c>
      <c r="AB247" s="5" t="s">
        <v>34</v>
      </c>
    </row>
    <row r="248" ht="15.75" customHeight="1">
      <c r="A248" s="4" t="s">
        <v>3020</v>
      </c>
      <c r="B248" s="5" t="s">
        <v>2820</v>
      </c>
      <c r="C248" s="12" t="s">
        <v>3021</v>
      </c>
      <c r="D248" s="7" t="s">
        <v>3022</v>
      </c>
      <c r="E248" s="5" t="s">
        <v>3023</v>
      </c>
      <c r="F248" s="5" t="s">
        <v>32</v>
      </c>
      <c r="G248" s="5" t="s">
        <v>1153</v>
      </c>
      <c r="H248" s="5" t="s">
        <v>34</v>
      </c>
      <c r="I248" s="8">
        <v>15.0</v>
      </c>
      <c r="J248" s="9" t="s">
        <v>35</v>
      </c>
      <c r="K248" s="5" t="s">
        <v>3024</v>
      </c>
      <c r="L248" s="5" t="s">
        <v>34</v>
      </c>
      <c r="M248" s="5"/>
      <c r="N248" s="5"/>
      <c r="O248" s="5"/>
      <c r="P248" s="5" t="s">
        <v>3025</v>
      </c>
      <c r="Q248" s="5" t="s">
        <v>3026</v>
      </c>
      <c r="R248" s="5" t="s">
        <v>3027</v>
      </c>
      <c r="S248" s="5"/>
      <c r="T248" s="5" t="s">
        <v>3028</v>
      </c>
      <c r="U248" s="5" t="s">
        <v>3029</v>
      </c>
      <c r="V248" s="5" t="s">
        <v>3030</v>
      </c>
      <c r="W248" s="5" t="s">
        <v>3031</v>
      </c>
      <c r="X248" s="5" t="s">
        <v>3032</v>
      </c>
      <c r="Y248" s="5" t="s">
        <v>3033</v>
      </c>
      <c r="Z248" s="5">
        <v>3.0</v>
      </c>
      <c r="AA248" s="5">
        <v>2026.0</v>
      </c>
      <c r="AB248" s="5" t="s">
        <v>34</v>
      </c>
    </row>
    <row r="249" ht="15.75" customHeight="1">
      <c r="A249" s="4" t="s">
        <v>3034</v>
      </c>
      <c r="B249" s="5" t="s">
        <v>2820</v>
      </c>
      <c r="C249" s="12" t="s">
        <v>3035</v>
      </c>
      <c r="D249" s="7" t="s">
        <v>3036</v>
      </c>
      <c r="E249" s="5"/>
      <c r="F249" s="5" t="s">
        <v>81</v>
      </c>
      <c r="G249" s="5" t="s">
        <v>2138</v>
      </c>
      <c r="H249" s="5" t="s">
        <v>83</v>
      </c>
      <c r="I249" s="8">
        <v>81.0</v>
      </c>
      <c r="J249" s="9" t="s">
        <v>35</v>
      </c>
      <c r="K249" s="5" t="s">
        <v>2138</v>
      </c>
      <c r="L249" s="5" t="s">
        <v>83</v>
      </c>
      <c r="M249" s="5"/>
      <c r="N249" s="5"/>
      <c r="O249" s="5"/>
      <c r="P249" s="5" t="s">
        <v>3037</v>
      </c>
      <c r="Q249" s="5" t="s">
        <v>3038</v>
      </c>
      <c r="R249" s="5" t="s">
        <v>3039</v>
      </c>
      <c r="S249" s="5" t="s">
        <v>3037</v>
      </c>
      <c r="T249" s="5" t="s">
        <v>3040</v>
      </c>
      <c r="U249" s="5" t="s">
        <v>3041</v>
      </c>
      <c r="V249" s="5"/>
      <c r="W249" s="5" t="s">
        <v>3042</v>
      </c>
      <c r="X249" s="5" t="s">
        <v>3043</v>
      </c>
      <c r="Y249" s="5" t="s">
        <v>3044</v>
      </c>
      <c r="Z249" s="5">
        <v>4.0</v>
      </c>
      <c r="AA249" s="5">
        <v>2026.0</v>
      </c>
      <c r="AB249" s="5" t="s">
        <v>83</v>
      </c>
    </row>
    <row r="250" ht="15.75" customHeight="1">
      <c r="A250" s="4" t="s">
        <v>3045</v>
      </c>
      <c r="B250" s="5" t="s">
        <v>2820</v>
      </c>
      <c r="C250" s="12" t="str">
        <f>"https://" &amp; "letterboxd" &amp; ".com/film/better-future/"</f>
        <v>https://letterboxd.com/film/better-future/</v>
      </c>
      <c r="D250" s="7" t="s">
        <v>3046</v>
      </c>
      <c r="E250" s="5"/>
      <c r="F250" s="5" t="s">
        <v>81</v>
      </c>
      <c r="G250" s="5" t="s">
        <v>1153</v>
      </c>
      <c r="H250" s="5" t="s">
        <v>34</v>
      </c>
      <c r="I250" s="8">
        <v>17.0</v>
      </c>
      <c r="J250" s="9" t="s">
        <v>98</v>
      </c>
      <c r="K250" s="5" t="s">
        <v>3047</v>
      </c>
      <c r="L250" s="5" t="s">
        <v>34</v>
      </c>
      <c r="M250" s="5"/>
      <c r="N250" s="5"/>
      <c r="O250" s="5"/>
      <c r="P250" s="5" t="s">
        <v>3048</v>
      </c>
      <c r="Q250" s="5" t="s">
        <v>3049</v>
      </c>
      <c r="R250" s="5" t="s">
        <v>3050</v>
      </c>
      <c r="S250" s="5" t="s">
        <v>3051</v>
      </c>
      <c r="T250" s="5" t="s">
        <v>3052</v>
      </c>
      <c r="U250" s="5" t="s">
        <v>3053</v>
      </c>
      <c r="V250" s="5" t="s">
        <v>3054</v>
      </c>
      <c r="W250" s="5" t="s">
        <v>3055</v>
      </c>
      <c r="X250" s="5" t="s">
        <v>3056</v>
      </c>
      <c r="Y250" s="5" t="s">
        <v>3057</v>
      </c>
      <c r="Z250" s="5">
        <v>4.0</v>
      </c>
      <c r="AA250" s="5">
        <v>2025.0</v>
      </c>
      <c r="AB250" s="5" t="s">
        <v>34</v>
      </c>
    </row>
    <row r="251" ht="15.75" customHeight="1">
      <c r="A251" s="4" t="s">
        <v>3058</v>
      </c>
      <c r="B251" s="5" t="s">
        <v>2820</v>
      </c>
      <c r="C251" s="12" t="str">
        <f>"https://" &amp; "letterboxd" &amp; ".com/film/boulevard-arrudas/"</f>
        <v>https://letterboxd.com/film/boulevard-arrudas/</v>
      </c>
      <c r="D251" s="7" t="s">
        <v>3059</v>
      </c>
      <c r="E251" s="5"/>
      <c r="F251" s="5" t="s">
        <v>81</v>
      </c>
      <c r="G251" s="5" t="s">
        <v>2138</v>
      </c>
      <c r="H251" s="5" t="s">
        <v>34</v>
      </c>
      <c r="I251" s="8">
        <v>11.0</v>
      </c>
      <c r="J251" s="9" t="s">
        <v>35</v>
      </c>
      <c r="K251" s="5" t="s">
        <v>2138</v>
      </c>
      <c r="L251" s="5" t="s">
        <v>34</v>
      </c>
      <c r="M251" s="5"/>
      <c r="N251" s="5"/>
      <c r="O251" s="5"/>
      <c r="P251" s="5" t="s">
        <v>3060</v>
      </c>
      <c r="Q251" s="5" t="s">
        <v>3061</v>
      </c>
      <c r="R251" s="5" t="s">
        <v>3062</v>
      </c>
      <c r="S251" s="5"/>
      <c r="T251" s="5" t="s">
        <v>3063</v>
      </c>
      <c r="U251" s="5" t="s">
        <v>3064</v>
      </c>
      <c r="V251" s="5" t="s">
        <v>3065</v>
      </c>
      <c r="W251" s="5" t="s">
        <v>3066</v>
      </c>
      <c r="X251" s="5" t="s">
        <v>3067</v>
      </c>
      <c r="Y251" s="5" t="s">
        <v>3068</v>
      </c>
      <c r="Z251" s="5">
        <v>4.0</v>
      </c>
      <c r="AA251" s="5">
        <v>2026.0</v>
      </c>
      <c r="AB251" s="5" t="s">
        <v>34</v>
      </c>
    </row>
    <row r="252" ht="15.75" customHeight="1">
      <c r="A252" s="4" t="s">
        <v>3069</v>
      </c>
      <c r="B252" s="5" t="s">
        <v>2820</v>
      </c>
      <c r="C252" s="12" t="str">
        <f>"https://" &amp; "letterboxd" &amp; ".com/film/cadu-barcellos-cria-nao-morre-vira-lenda/"</f>
        <v>https://letterboxd.com/film/cadu-barcellos-cria-nao-morre-vira-lenda/</v>
      </c>
      <c r="D252" s="7" t="s">
        <v>3070</v>
      </c>
      <c r="E252" s="5"/>
      <c r="F252" s="5" t="s">
        <v>81</v>
      </c>
      <c r="G252" s="5" t="s">
        <v>2138</v>
      </c>
      <c r="H252" s="5" t="s">
        <v>83</v>
      </c>
      <c r="I252" s="8">
        <v>15.0</v>
      </c>
      <c r="J252" s="9" t="s">
        <v>35</v>
      </c>
      <c r="K252" s="5" t="s">
        <v>2138</v>
      </c>
      <c r="L252" s="5" t="s">
        <v>83</v>
      </c>
      <c r="M252" s="5"/>
      <c r="N252" s="5"/>
      <c r="O252" s="5"/>
      <c r="P252" s="5" t="s">
        <v>3071</v>
      </c>
      <c r="Q252" s="5" t="s">
        <v>3072</v>
      </c>
      <c r="R252" s="5" t="s">
        <v>3073</v>
      </c>
      <c r="S252" s="5" t="s">
        <v>3074</v>
      </c>
      <c r="T252" s="5" t="s">
        <v>3075</v>
      </c>
      <c r="U252" s="5" t="s">
        <v>3076</v>
      </c>
      <c r="V252" s="5" t="s">
        <v>3077</v>
      </c>
      <c r="W252" s="5"/>
      <c r="X252" s="5" t="s">
        <v>3078</v>
      </c>
      <c r="Y252" s="5" t="s">
        <v>3079</v>
      </c>
      <c r="Z252" s="5">
        <v>2.0</v>
      </c>
      <c r="AA252" s="5">
        <v>2026.0</v>
      </c>
      <c r="AB252" s="5" t="s">
        <v>83</v>
      </c>
    </row>
    <row r="253" ht="15.75" customHeight="1">
      <c r="A253" s="4" t="s">
        <v>3080</v>
      </c>
      <c r="B253" s="5" t="s">
        <v>2820</v>
      </c>
      <c r="C253" s="12" t="str">
        <f>"https://" &amp; "letterboxd" &amp; ".com/film/cansei-de-ser-gala/"</f>
        <v>https://letterboxd.com/film/cansei-de-ser-gala/</v>
      </c>
      <c r="D253" s="7" t="s">
        <v>3081</v>
      </c>
      <c r="E253" s="5" t="s">
        <v>3082</v>
      </c>
      <c r="F253" s="5" t="s">
        <v>32</v>
      </c>
      <c r="G253" s="5" t="s">
        <v>2138</v>
      </c>
      <c r="H253" s="5" t="s">
        <v>83</v>
      </c>
      <c r="I253" s="8">
        <v>93.0</v>
      </c>
      <c r="J253" s="9" t="s">
        <v>35</v>
      </c>
      <c r="K253" s="5" t="s">
        <v>2138</v>
      </c>
      <c r="L253" s="5" t="s">
        <v>83</v>
      </c>
      <c r="M253" s="5"/>
      <c r="N253" s="5"/>
      <c r="O253" s="5"/>
      <c r="P253" s="5" t="s">
        <v>3083</v>
      </c>
      <c r="Q253" s="5" t="s">
        <v>3084</v>
      </c>
      <c r="R253" s="5" t="s">
        <v>3085</v>
      </c>
      <c r="S253" s="5" t="s">
        <v>3086</v>
      </c>
      <c r="T253" s="5" t="s">
        <v>3087</v>
      </c>
      <c r="U253" s="5" t="s">
        <v>3088</v>
      </c>
      <c r="V253" s="5" t="s">
        <v>3089</v>
      </c>
      <c r="W253" s="5" t="s">
        <v>3090</v>
      </c>
      <c r="X253" s="5" t="s">
        <v>3091</v>
      </c>
      <c r="Y253" s="5" t="s">
        <v>3092</v>
      </c>
      <c r="Z253" s="5">
        <v>4.0</v>
      </c>
      <c r="AA253" s="5">
        <v>2026.0</v>
      </c>
      <c r="AB253" s="5" t="s">
        <v>83</v>
      </c>
    </row>
    <row r="254" ht="15.75" customHeight="1">
      <c r="A254" s="4" t="s">
        <v>3093</v>
      </c>
      <c r="B254" s="5" t="s">
        <v>2820</v>
      </c>
      <c r="C254" s="12" t="str">
        <f>"https://" &amp; "letterboxd" &amp; ".com/film/cao-sem-plumas/"</f>
        <v>https://letterboxd.com/film/cao-sem-plumas/</v>
      </c>
      <c r="D254" s="7" t="s">
        <v>3094</v>
      </c>
      <c r="E254" s="5"/>
      <c r="F254" s="5" t="s">
        <v>81</v>
      </c>
      <c r="G254" s="5" t="s">
        <v>2138</v>
      </c>
      <c r="H254" s="5" t="s">
        <v>83</v>
      </c>
      <c r="I254" s="8">
        <v>73.0</v>
      </c>
      <c r="J254" s="9" t="s">
        <v>35</v>
      </c>
      <c r="K254" s="5" t="s">
        <v>2138</v>
      </c>
      <c r="L254" s="5" t="s">
        <v>83</v>
      </c>
      <c r="M254" s="5"/>
      <c r="N254" s="5"/>
      <c r="O254" s="5"/>
      <c r="P254" s="5" t="s">
        <v>3095</v>
      </c>
      <c r="Q254" s="5" t="s">
        <v>3096</v>
      </c>
      <c r="R254" s="5" t="s">
        <v>3097</v>
      </c>
      <c r="S254" s="5" t="s">
        <v>3098</v>
      </c>
      <c r="T254" s="5" t="s">
        <v>3099</v>
      </c>
      <c r="U254" s="5" t="s">
        <v>3100</v>
      </c>
      <c r="V254" s="5" t="s">
        <v>3101</v>
      </c>
      <c r="W254" s="5" t="s">
        <v>3102</v>
      </c>
      <c r="X254" s="5" t="s">
        <v>3103</v>
      </c>
      <c r="Y254" s="5" t="s">
        <v>3104</v>
      </c>
      <c r="Z254" s="5">
        <v>4.0</v>
      </c>
      <c r="AA254" s="5">
        <v>2026.0</v>
      </c>
      <c r="AB254" s="5" t="s">
        <v>83</v>
      </c>
    </row>
    <row r="255" ht="15.75" customHeight="1">
      <c r="A255" s="4" t="s">
        <v>3105</v>
      </c>
      <c r="B255" s="5" t="s">
        <v>2820</v>
      </c>
      <c r="C255" s="12" t="s">
        <v>3106</v>
      </c>
      <c r="D255" s="7" t="s">
        <v>3107</v>
      </c>
      <c r="E255" s="5"/>
      <c r="F255" s="5" t="s">
        <v>81</v>
      </c>
      <c r="G255" s="5" t="s">
        <v>2138</v>
      </c>
      <c r="H255" s="5" t="s">
        <v>83</v>
      </c>
      <c r="I255" s="8">
        <v>72.0</v>
      </c>
      <c r="J255" s="9" t="s">
        <v>35</v>
      </c>
      <c r="K255" s="5" t="s">
        <v>2138</v>
      </c>
      <c r="L255" s="5" t="s">
        <v>83</v>
      </c>
      <c r="M255" s="5"/>
      <c r="N255" s="5"/>
      <c r="O255" s="5"/>
      <c r="P255" s="5" t="s">
        <v>3108</v>
      </c>
      <c r="Q255" s="5" t="s">
        <v>3108</v>
      </c>
      <c r="R255" s="5" t="s">
        <v>3109</v>
      </c>
      <c r="S255" s="5" t="s">
        <v>3110</v>
      </c>
      <c r="T255" s="5" t="s">
        <v>3111</v>
      </c>
      <c r="U255" s="5" t="s">
        <v>3112</v>
      </c>
      <c r="V255" s="5" t="s">
        <v>3113</v>
      </c>
      <c r="W255" s="5" t="s">
        <v>3114</v>
      </c>
      <c r="X255" s="5" t="s">
        <v>3115</v>
      </c>
      <c r="Y255" s="5" t="s">
        <v>3116</v>
      </c>
      <c r="Z255" s="5">
        <v>2.0</v>
      </c>
      <c r="AA255" s="5">
        <v>2026.0</v>
      </c>
      <c r="AB255" s="5" t="s">
        <v>83</v>
      </c>
    </row>
    <row r="256" ht="15.75" customHeight="1">
      <c r="A256" s="4" t="s">
        <v>3117</v>
      </c>
      <c r="B256" s="5" t="s">
        <v>2820</v>
      </c>
      <c r="C256" s="12" t="str">
        <f>"https://" &amp; "letterboxd" &amp; ".com/film/cidade-de-deus-a-luta-nao-para/"</f>
        <v>https://letterboxd.com/film/cidade-de-deus-a-luta-nao-para/</v>
      </c>
      <c r="D256" s="7" t="s">
        <v>3118</v>
      </c>
      <c r="E256" s="5"/>
      <c r="F256" s="5" t="s">
        <v>81</v>
      </c>
      <c r="G256" s="5" t="s">
        <v>2138</v>
      </c>
      <c r="H256" s="5" t="s">
        <v>34</v>
      </c>
      <c r="I256" s="8">
        <v>50.0</v>
      </c>
      <c r="J256" s="9" t="s">
        <v>35</v>
      </c>
      <c r="K256" s="5" t="s">
        <v>2138</v>
      </c>
      <c r="L256" s="5" t="s">
        <v>34</v>
      </c>
      <c r="M256" s="5"/>
      <c r="N256" s="5"/>
      <c r="O256" s="5"/>
      <c r="P256" s="5" t="s">
        <v>3119</v>
      </c>
      <c r="Q256" s="5" t="s">
        <v>3120</v>
      </c>
      <c r="R256" s="5" t="s">
        <v>3121</v>
      </c>
      <c r="S256" s="5" t="s">
        <v>3122</v>
      </c>
      <c r="T256" s="5" t="s">
        <v>3123</v>
      </c>
      <c r="U256" s="5" t="s">
        <v>3124</v>
      </c>
      <c r="V256" s="5" t="s">
        <v>3125</v>
      </c>
      <c r="W256" s="5" t="s">
        <v>3126</v>
      </c>
      <c r="X256" s="5" t="s">
        <v>3127</v>
      </c>
      <c r="Y256" s="5" t="s">
        <v>3128</v>
      </c>
      <c r="Z256" s="5">
        <v>1.0</v>
      </c>
      <c r="AA256" s="5">
        <v>2026.0</v>
      </c>
      <c r="AB256" s="5" t="s">
        <v>34</v>
      </c>
    </row>
    <row r="257" ht="15.75" customHeight="1">
      <c r="A257" s="4" t="s">
        <v>3129</v>
      </c>
      <c r="B257" s="5" t="s">
        <v>2820</v>
      </c>
      <c r="C257" s="12" t="str">
        <f>"https://" &amp; "letterboxd" &amp; ".com/film/cinderela-do-samba/"</f>
        <v>https://letterboxd.com/film/cinderela-do-samba/</v>
      </c>
      <c r="D257" s="7" t="s">
        <v>3130</v>
      </c>
      <c r="E257" s="5"/>
      <c r="F257" s="5" t="s">
        <v>81</v>
      </c>
      <c r="G257" s="5" t="s">
        <v>2138</v>
      </c>
      <c r="H257" s="5" t="s">
        <v>34</v>
      </c>
      <c r="I257" s="8">
        <v>16.0</v>
      </c>
      <c r="J257" s="9" t="s">
        <v>35</v>
      </c>
      <c r="K257" s="5" t="s">
        <v>2138</v>
      </c>
      <c r="L257" s="5" t="s">
        <v>3131</v>
      </c>
      <c r="M257" s="5"/>
      <c r="N257" s="5"/>
      <c r="O257" s="5"/>
      <c r="P257" s="5" t="s">
        <v>3132</v>
      </c>
      <c r="Q257" s="5" t="s">
        <v>3132</v>
      </c>
      <c r="R257" s="5" t="s">
        <v>3133</v>
      </c>
      <c r="S257" s="5" t="s">
        <v>2201</v>
      </c>
      <c r="T257" s="5" t="s">
        <v>3134</v>
      </c>
      <c r="U257" s="5" t="s">
        <v>3135</v>
      </c>
      <c r="V257" s="5" t="s">
        <v>3136</v>
      </c>
      <c r="W257" s="5" t="s">
        <v>3137</v>
      </c>
      <c r="X257" s="5" t="s">
        <v>3138</v>
      </c>
      <c r="Y257" s="5" t="s">
        <v>3139</v>
      </c>
      <c r="Z257" s="5">
        <v>4.0</v>
      </c>
      <c r="AA257" s="5">
        <v>2026.0</v>
      </c>
      <c r="AB257" s="5" t="s">
        <v>3131</v>
      </c>
    </row>
    <row r="258" ht="15.75" customHeight="1">
      <c r="A258" s="4" t="s">
        <v>3140</v>
      </c>
      <c r="B258" s="5" t="s">
        <v>2820</v>
      </c>
      <c r="C258" s="12" t="s">
        <v>3141</v>
      </c>
      <c r="D258" s="7" t="s">
        <v>3142</v>
      </c>
      <c r="E258" s="5"/>
      <c r="F258" s="5" t="s">
        <v>81</v>
      </c>
      <c r="G258" s="5" t="s">
        <v>2138</v>
      </c>
      <c r="H258" s="5" t="s">
        <v>34</v>
      </c>
      <c r="I258" s="8">
        <v>15.0</v>
      </c>
      <c r="J258" s="9" t="s">
        <v>35</v>
      </c>
      <c r="K258" s="5" t="s">
        <v>2138</v>
      </c>
      <c r="L258" s="5" t="s">
        <v>34</v>
      </c>
      <c r="M258" s="10"/>
      <c r="N258" s="10"/>
      <c r="O258" s="10"/>
      <c r="P258" s="10" t="s">
        <v>3143</v>
      </c>
      <c r="Q258" s="5"/>
      <c r="R258" s="5" t="s">
        <v>3144</v>
      </c>
      <c r="S258" s="5" t="s">
        <v>3145</v>
      </c>
      <c r="T258" s="5" t="s">
        <v>3146</v>
      </c>
      <c r="U258" s="5" t="s">
        <v>3147</v>
      </c>
      <c r="V258" s="5" t="s">
        <v>3148</v>
      </c>
      <c r="W258" s="5" t="s">
        <v>3149</v>
      </c>
      <c r="X258" s="5" t="s">
        <v>3150</v>
      </c>
      <c r="Y258" s="10" t="s">
        <v>3151</v>
      </c>
      <c r="Z258" s="5">
        <v>4.0</v>
      </c>
      <c r="AA258" s="5">
        <v>2026.0</v>
      </c>
      <c r="AB258" s="5" t="s">
        <v>34</v>
      </c>
    </row>
    <row r="259" ht="15.75" customHeight="1">
      <c r="A259" s="4" t="s">
        <v>3152</v>
      </c>
      <c r="B259" s="5" t="s">
        <v>2820</v>
      </c>
      <c r="C259" s="12" t="str">
        <f>"https://" &amp; "letterboxd" &amp; ".com/film/cony-retrato-intimo/"</f>
        <v>https://letterboxd.com/film/cony-retrato-intimo/</v>
      </c>
      <c r="D259" s="7" t="s">
        <v>3153</v>
      </c>
      <c r="E259" s="5"/>
      <c r="F259" s="5" t="s">
        <v>81</v>
      </c>
      <c r="G259" s="5" t="s">
        <v>2138</v>
      </c>
      <c r="H259" s="5" t="s">
        <v>83</v>
      </c>
      <c r="I259" s="8">
        <v>71.0</v>
      </c>
      <c r="J259" s="9" t="s">
        <v>35</v>
      </c>
      <c r="K259" s="5" t="s">
        <v>2138</v>
      </c>
      <c r="L259" s="5" t="s">
        <v>83</v>
      </c>
      <c r="M259" s="5"/>
      <c r="N259" s="5"/>
      <c r="O259" s="5"/>
      <c r="P259" s="5" t="s">
        <v>3154</v>
      </c>
      <c r="Q259" s="5" t="s">
        <v>3155</v>
      </c>
      <c r="R259" s="5" t="s">
        <v>3156</v>
      </c>
      <c r="S259" s="5" t="s">
        <v>3157</v>
      </c>
      <c r="T259" s="5" t="s">
        <v>3158</v>
      </c>
      <c r="U259" s="5" t="s">
        <v>3154</v>
      </c>
      <c r="V259" s="5" t="s">
        <v>3159</v>
      </c>
      <c r="W259" s="5" t="s">
        <v>3160</v>
      </c>
      <c r="X259" s="5" t="s">
        <v>3161</v>
      </c>
      <c r="Y259" s="5" t="s">
        <v>3162</v>
      </c>
      <c r="Z259" s="5">
        <v>3.0</v>
      </c>
      <c r="AA259" s="5">
        <v>2026.0</v>
      </c>
      <c r="AB259" s="5" t="s">
        <v>83</v>
      </c>
    </row>
    <row r="260" ht="15.75" customHeight="1">
      <c r="A260" s="4" t="s">
        <v>3163</v>
      </c>
      <c r="B260" s="5" t="s">
        <v>2820</v>
      </c>
      <c r="C260" s="12" t="str">
        <f>"https://" &amp; "letterboxd" &amp; ".com/film/delegado/"</f>
        <v>https://letterboxd.com/film/delegado/</v>
      </c>
      <c r="D260" s="7" t="s">
        <v>3164</v>
      </c>
      <c r="E260" s="5"/>
      <c r="F260" s="5" t="s">
        <v>81</v>
      </c>
      <c r="G260" s="5" t="s">
        <v>2138</v>
      </c>
      <c r="H260" s="5" t="s">
        <v>34</v>
      </c>
      <c r="I260" s="8">
        <v>100.0</v>
      </c>
      <c r="J260" s="9" t="s">
        <v>35</v>
      </c>
      <c r="K260" s="5" t="s">
        <v>2138</v>
      </c>
      <c r="L260" s="5" t="s">
        <v>34</v>
      </c>
      <c r="M260" s="5"/>
      <c r="N260" s="5"/>
      <c r="O260" s="5"/>
      <c r="P260" s="5" t="s">
        <v>3165</v>
      </c>
      <c r="Q260" s="5" t="s">
        <v>3165</v>
      </c>
      <c r="R260" s="5" t="s">
        <v>3166</v>
      </c>
      <c r="S260" s="5" t="s">
        <v>3167</v>
      </c>
      <c r="T260" s="5" t="s">
        <v>2898</v>
      </c>
      <c r="U260" s="5" t="s">
        <v>3168</v>
      </c>
      <c r="V260" s="5" t="s">
        <v>3169</v>
      </c>
      <c r="W260" s="5" t="s">
        <v>3170</v>
      </c>
      <c r="X260" s="5" t="s">
        <v>3171</v>
      </c>
      <c r="Y260" s="5" t="s">
        <v>3172</v>
      </c>
      <c r="Z260" s="5">
        <v>1.0</v>
      </c>
      <c r="AA260" s="5">
        <v>2026.0</v>
      </c>
      <c r="AB260" s="5" t="s">
        <v>34</v>
      </c>
    </row>
    <row r="261" ht="15.75" customHeight="1">
      <c r="A261" s="4" t="s">
        <v>3173</v>
      </c>
      <c r="B261" s="5" t="s">
        <v>2820</v>
      </c>
      <c r="C261" s="12" t="str">
        <f>"https://" &amp; "letterboxd" &amp; ".com/film/depois-do-impacto-a-historia-do-coritiba-crocodiles/"</f>
        <v>https://letterboxd.com/film/depois-do-impacto-a-historia-do-coritiba-crocodiles/</v>
      </c>
      <c r="D261" s="7" t="s">
        <v>3174</v>
      </c>
      <c r="E261" s="5"/>
      <c r="F261" s="5" t="s">
        <v>81</v>
      </c>
      <c r="G261" s="5" t="s">
        <v>2138</v>
      </c>
      <c r="H261" s="5" t="s">
        <v>83</v>
      </c>
      <c r="I261" s="8">
        <v>106.0</v>
      </c>
      <c r="J261" s="9" t="s">
        <v>35</v>
      </c>
      <c r="K261" s="5" t="s">
        <v>2138</v>
      </c>
      <c r="L261" s="5" t="s">
        <v>83</v>
      </c>
      <c r="M261" s="5"/>
      <c r="N261" s="5"/>
      <c r="O261" s="5"/>
      <c r="P261" s="5" t="s">
        <v>3175</v>
      </c>
      <c r="Q261" s="5"/>
      <c r="R261" s="5" t="s">
        <v>3176</v>
      </c>
      <c r="S261" s="5" t="s">
        <v>3177</v>
      </c>
      <c r="T261" s="5" t="s">
        <v>3178</v>
      </c>
      <c r="U261" s="5" t="s">
        <v>3179</v>
      </c>
      <c r="V261" s="5" t="s">
        <v>3180</v>
      </c>
      <c r="W261" s="5" t="s">
        <v>3181</v>
      </c>
      <c r="X261" s="5" t="s">
        <v>3182</v>
      </c>
      <c r="Y261" s="5" t="s">
        <v>3183</v>
      </c>
      <c r="Z261" s="5">
        <v>1.0</v>
      </c>
      <c r="AA261" s="5">
        <v>2026.0</v>
      </c>
      <c r="AB261" s="5" t="s">
        <v>83</v>
      </c>
    </row>
    <row r="262" ht="15.75" customHeight="1">
      <c r="A262" s="4" t="s">
        <v>3184</v>
      </c>
      <c r="B262" s="5" t="s">
        <v>2820</v>
      </c>
      <c r="C262" s="12" t="str">
        <f>"https://" &amp; "letterboxd" &amp; ".com/film/diario-do-fogo/"</f>
        <v>https://letterboxd.com/film/diario-do-fogo/</v>
      </c>
      <c r="D262" s="7" t="s">
        <v>3185</v>
      </c>
      <c r="E262" s="5"/>
      <c r="F262" s="5" t="s">
        <v>81</v>
      </c>
      <c r="G262" s="5" t="s">
        <v>2138</v>
      </c>
      <c r="H262" s="5" t="s">
        <v>34</v>
      </c>
      <c r="I262" s="8">
        <v>89.0</v>
      </c>
      <c r="J262" s="9" t="s">
        <v>35</v>
      </c>
      <c r="K262" s="5" t="s">
        <v>2138</v>
      </c>
      <c r="L262" s="5" t="s">
        <v>34</v>
      </c>
      <c r="M262" s="5"/>
      <c r="N262" s="5"/>
      <c r="O262" s="5"/>
      <c r="P262" s="5" t="s">
        <v>3186</v>
      </c>
      <c r="Q262" s="5" t="s">
        <v>3186</v>
      </c>
      <c r="R262" s="5" t="s">
        <v>3187</v>
      </c>
      <c r="S262" s="5" t="s">
        <v>3188</v>
      </c>
      <c r="T262" s="5" t="s">
        <v>3189</v>
      </c>
      <c r="U262" s="5" t="s">
        <v>3190</v>
      </c>
      <c r="V262" s="5" t="s">
        <v>2875</v>
      </c>
      <c r="W262" s="5" t="s">
        <v>3191</v>
      </c>
      <c r="X262" s="5" t="s">
        <v>3192</v>
      </c>
      <c r="Y262" s="5" t="s">
        <v>3193</v>
      </c>
      <c r="Z262" s="5">
        <v>4.0</v>
      </c>
      <c r="AA262" s="5">
        <v>2026.0</v>
      </c>
      <c r="AB262" s="5" t="s">
        <v>34</v>
      </c>
    </row>
    <row r="263" ht="15.75" customHeight="1">
      <c r="A263" s="4" t="s">
        <v>3194</v>
      </c>
      <c r="B263" s="5" t="s">
        <v>2820</v>
      </c>
      <c r="C263" s="12" t="s">
        <v>3195</v>
      </c>
      <c r="D263" s="7" t="s">
        <v>3196</v>
      </c>
      <c r="E263" s="5"/>
      <c r="F263" s="5" t="s">
        <v>81</v>
      </c>
      <c r="G263" s="5" t="s">
        <v>2138</v>
      </c>
      <c r="H263" s="5" t="s">
        <v>83</v>
      </c>
      <c r="I263" s="8">
        <v>84.0</v>
      </c>
      <c r="J263" s="9" t="s">
        <v>35</v>
      </c>
      <c r="K263" s="5" t="s">
        <v>2138</v>
      </c>
      <c r="L263" s="5" t="s">
        <v>83</v>
      </c>
      <c r="M263" s="5"/>
      <c r="N263" s="5"/>
      <c r="O263" s="5"/>
      <c r="P263" s="5" t="s">
        <v>3197</v>
      </c>
      <c r="Q263" s="5" t="s">
        <v>3198</v>
      </c>
      <c r="R263" s="5" t="s">
        <v>3199</v>
      </c>
      <c r="S263" s="5" t="s">
        <v>3200</v>
      </c>
      <c r="T263" s="5" t="s">
        <v>3201</v>
      </c>
      <c r="U263" s="5" t="s">
        <v>3202</v>
      </c>
      <c r="V263" s="5" t="s">
        <v>3203</v>
      </c>
      <c r="W263" s="5"/>
      <c r="X263" s="5" t="s">
        <v>3204</v>
      </c>
      <c r="Y263" s="5" t="s">
        <v>3205</v>
      </c>
      <c r="Z263" s="5">
        <v>4.0</v>
      </c>
      <c r="AA263" s="5">
        <v>2026.0</v>
      </c>
      <c r="AB263" s="5" t="s">
        <v>83</v>
      </c>
    </row>
    <row r="264" ht="15.75" customHeight="1">
      <c r="A264" s="4" t="s">
        <v>3206</v>
      </c>
      <c r="B264" s="5" t="s">
        <v>2820</v>
      </c>
      <c r="C264" s="12" t="str">
        <f>"https://" &amp; "letterboxd" &amp; ".com/film/duwid-tuminzik-makunaima-e-duwid/"</f>
        <v>https://letterboxd.com/film/duwid-tuminzik-makunaima-e-duwid/</v>
      </c>
      <c r="D264" s="7" t="s">
        <v>3207</v>
      </c>
      <c r="E264" s="5"/>
      <c r="F264" s="5" t="s">
        <v>81</v>
      </c>
      <c r="G264" s="5" t="s">
        <v>2138</v>
      </c>
      <c r="H264" s="5" t="s">
        <v>795</v>
      </c>
      <c r="I264" s="8">
        <v>14.0</v>
      </c>
      <c r="J264" s="9" t="s">
        <v>98</v>
      </c>
      <c r="K264" s="5" t="s">
        <v>2138</v>
      </c>
      <c r="L264" s="5" t="s">
        <v>795</v>
      </c>
      <c r="M264" s="10"/>
      <c r="N264" s="10"/>
      <c r="O264" s="10"/>
      <c r="P264" s="10" t="s">
        <v>3208</v>
      </c>
      <c r="Q264" s="5"/>
      <c r="R264" s="5" t="s">
        <v>3209</v>
      </c>
      <c r="S264" s="5" t="s">
        <v>3208</v>
      </c>
      <c r="T264" s="5" t="s">
        <v>3210</v>
      </c>
      <c r="U264" s="5" t="s">
        <v>3211</v>
      </c>
      <c r="V264" s="5" t="s">
        <v>3212</v>
      </c>
      <c r="W264" s="5" t="s">
        <v>3213</v>
      </c>
      <c r="X264" s="5" t="s">
        <v>3214</v>
      </c>
      <c r="Y264" s="10" t="s">
        <v>3215</v>
      </c>
      <c r="Z264" s="5">
        <v>3.0</v>
      </c>
      <c r="AA264" s="5">
        <v>2025.0</v>
      </c>
      <c r="AB264" s="5" t="s">
        <v>795</v>
      </c>
    </row>
    <row r="265" ht="15.75" customHeight="1">
      <c r="A265" s="4" t="s">
        <v>3216</v>
      </c>
      <c r="B265" s="5" t="s">
        <v>2820</v>
      </c>
      <c r="C265" s="12" t="str">
        <f>"https://" &amp; "letterboxd" &amp; ".com/film/ela-foi-ali-guardar-o-coracao-na-geladeira/"</f>
        <v>https://letterboxd.com/film/ela-foi-ali-guardar-o-coracao-na-geladeira/</v>
      </c>
      <c r="D265" s="7" t="s">
        <v>3217</v>
      </c>
      <c r="E265" s="5"/>
      <c r="F265" s="5" t="s">
        <v>81</v>
      </c>
      <c r="G265" s="5" t="s">
        <v>2138</v>
      </c>
      <c r="H265" s="5" t="s">
        <v>34</v>
      </c>
      <c r="I265" s="8">
        <v>78.0</v>
      </c>
      <c r="J265" s="9" t="s">
        <v>35</v>
      </c>
      <c r="K265" s="5" t="s">
        <v>2138</v>
      </c>
      <c r="L265" s="5" t="s">
        <v>34</v>
      </c>
      <c r="M265" s="5"/>
      <c r="N265" s="5"/>
      <c r="O265" s="5"/>
      <c r="P265" s="5" t="s">
        <v>3218</v>
      </c>
      <c r="Q265" s="5" t="s">
        <v>3218</v>
      </c>
      <c r="R265" s="5" t="s">
        <v>3219</v>
      </c>
      <c r="S265" s="5" t="s">
        <v>3218</v>
      </c>
      <c r="T265" s="5" t="s">
        <v>3146</v>
      </c>
      <c r="U265" s="5" t="s">
        <v>3220</v>
      </c>
      <c r="V265" s="5" t="s">
        <v>3221</v>
      </c>
      <c r="W265" s="5" t="s">
        <v>3222</v>
      </c>
      <c r="X265" s="5" t="s">
        <v>3223</v>
      </c>
      <c r="Y265" s="5" t="s">
        <v>3224</v>
      </c>
      <c r="Z265" s="5">
        <v>4.0</v>
      </c>
      <c r="AA265" s="5">
        <v>2026.0</v>
      </c>
      <c r="AB265" s="5" t="s">
        <v>34</v>
      </c>
    </row>
    <row r="266" ht="15.75" customHeight="1">
      <c r="A266" s="4" t="s">
        <v>3225</v>
      </c>
      <c r="B266" s="5" t="s">
        <v>2820</v>
      </c>
      <c r="C266" s="12" t="s">
        <v>3226</v>
      </c>
      <c r="D266" s="7" t="s">
        <v>3227</v>
      </c>
      <c r="E266" s="5"/>
      <c r="F266" s="5" t="s">
        <v>81</v>
      </c>
      <c r="G266" s="5" t="s">
        <v>2138</v>
      </c>
      <c r="H266" s="5" t="s">
        <v>83</v>
      </c>
      <c r="I266" s="8">
        <v>110.0</v>
      </c>
      <c r="J266" s="9" t="s">
        <v>35</v>
      </c>
      <c r="K266" s="5" t="s">
        <v>2138</v>
      </c>
      <c r="L266" s="5" t="s">
        <v>83</v>
      </c>
      <c r="M266" s="10"/>
      <c r="N266" s="10"/>
      <c r="O266" s="10"/>
      <c r="P266" s="10" t="s">
        <v>3228</v>
      </c>
      <c r="Q266" s="5"/>
      <c r="R266" s="5" t="s">
        <v>3229</v>
      </c>
      <c r="S266" s="5" t="s">
        <v>3230</v>
      </c>
      <c r="T266" s="5" t="s">
        <v>3231</v>
      </c>
      <c r="U266" s="5" t="s">
        <v>3232</v>
      </c>
      <c r="V266" s="5" t="s">
        <v>3233</v>
      </c>
      <c r="W266" s="5"/>
      <c r="X266" s="5" t="s">
        <v>3234</v>
      </c>
      <c r="Y266" s="10" t="s">
        <v>3235</v>
      </c>
      <c r="Z266" s="5">
        <v>4.0</v>
      </c>
      <c r="AA266" s="5">
        <v>2026.0</v>
      </c>
      <c r="AB266" s="5" t="s">
        <v>83</v>
      </c>
    </row>
    <row r="267" ht="15.75" customHeight="1">
      <c r="A267" s="4" t="s">
        <v>3236</v>
      </c>
      <c r="B267" s="5" t="s">
        <v>2820</v>
      </c>
      <c r="C267" s="12" t="str">
        <f>"https://" &amp; "letterboxd" &amp; ".com/film/especial-afronta/"</f>
        <v>https://letterboxd.com/film/especial-afronta/</v>
      </c>
      <c r="D267" s="7" t="s">
        <v>3237</v>
      </c>
      <c r="E267" s="5"/>
      <c r="F267" s="5" t="s">
        <v>81</v>
      </c>
      <c r="G267" s="5" t="s">
        <v>2138</v>
      </c>
      <c r="H267" s="5" t="s">
        <v>83</v>
      </c>
      <c r="I267" s="8">
        <v>87.0</v>
      </c>
      <c r="J267" s="9" t="s">
        <v>35</v>
      </c>
      <c r="K267" s="5" t="s">
        <v>2138</v>
      </c>
      <c r="L267" s="5" t="s">
        <v>83</v>
      </c>
      <c r="M267" s="5"/>
      <c r="N267" s="5"/>
      <c r="O267" s="5"/>
      <c r="P267" s="5" t="s">
        <v>3238</v>
      </c>
      <c r="Q267" s="5" t="s">
        <v>3239</v>
      </c>
      <c r="R267" s="5" t="s">
        <v>3240</v>
      </c>
      <c r="S267" s="5" t="s">
        <v>3239</v>
      </c>
      <c r="T267" s="5" t="s">
        <v>3241</v>
      </c>
      <c r="U267" s="5" t="s">
        <v>3242</v>
      </c>
      <c r="V267" s="5" t="s">
        <v>3243</v>
      </c>
      <c r="W267" s="5" t="s">
        <v>3244</v>
      </c>
      <c r="X267" s="5" t="s">
        <v>3245</v>
      </c>
      <c r="Y267" s="5" t="s">
        <v>3246</v>
      </c>
      <c r="Z267" s="5">
        <v>1.0</v>
      </c>
      <c r="AA267" s="5">
        <v>2026.0</v>
      </c>
      <c r="AB267" s="5" t="s">
        <v>83</v>
      </c>
    </row>
    <row r="268" ht="15.75" customHeight="1">
      <c r="A268" s="4" t="s">
        <v>3247</v>
      </c>
      <c r="B268" s="5" t="s">
        <v>2820</v>
      </c>
      <c r="C268" s="12" t="s">
        <v>3248</v>
      </c>
      <c r="D268" s="7" t="s">
        <v>3249</v>
      </c>
      <c r="E268" s="5"/>
      <c r="F268" s="5" t="s">
        <v>81</v>
      </c>
      <c r="G268" s="5" t="s">
        <v>2138</v>
      </c>
      <c r="H268" s="5" t="s">
        <v>795</v>
      </c>
      <c r="I268" s="8">
        <v>14.0</v>
      </c>
      <c r="J268" s="9" t="s">
        <v>35</v>
      </c>
      <c r="K268" s="5" t="s">
        <v>2138</v>
      </c>
      <c r="L268" s="5" t="s">
        <v>795</v>
      </c>
      <c r="M268" s="5"/>
      <c r="N268" s="5"/>
      <c r="O268" s="5"/>
      <c r="P268" s="5" t="s">
        <v>3250</v>
      </c>
      <c r="Q268" s="5" t="s">
        <v>3251</v>
      </c>
      <c r="R268" s="5" t="s">
        <v>3252</v>
      </c>
      <c r="S268" s="5" t="s">
        <v>3252</v>
      </c>
      <c r="T268" s="5"/>
      <c r="U268" s="5" t="s">
        <v>3253</v>
      </c>
      <c r="V268" s="5" t="s">
        <v>3254</v>
      </c>
      <c r="W268" s="5" t="s">
        <v>3255</v>
      </c>
      <c r="X268" s="5" t="s">
        <v>3256</v>
      </c>
      <c r="Y268" s="5" t="s">
        <v>3257</v>
      </c>
      <c r="Z268" s="5">
        <v>4.0</v>
      </c>
      <c r="AA268" s="5">
        <v>2026.0</v>
      </c>
      <c r="AB268" s="5" t="s">
        <v>795</v>
      </c>
    </row>
    <row r="269" ht="15.75" customHeight="1">
      <c r="A269" s="4" t="s">
        <v>3258</v>
      </c>
      <c r="B269" s="5" t="s">
        <v>2820</v>
      </c>
      <c r="C269" s="12" t="s">
        <v>3259</v>
      </c>
      <c r="D269" s="7" t="s">
        <v>3260</v>
      </c>
      <c r="E269" s="5"/>
      <c r="F269" s="5" t="s">
        <v>81</v>
      </c>
      <c r="G269" s="5" t="s">
        <v>2138</v>
      </c>
      <c r="H269" s="5" t="s">
        <v>34</v>
      </c>
      <c r="I269" s="8">
        <v>93.0</v>
      </c>
      <c r="J269" s="9" t="s">
        <v>35</v>
      </c>
      <c r="K269" s="5" t="s">
        <v>2138</v>
      </c>
      <c r="L269" s="5" t="s">
        <v>34</v>
      </c>
      <c r="M269" s="10" t="s">
        <v>65</v>
      </c>
      <c r="N269" s="10" t="s">
        <v>128</v>
      </c>
      <c r="O269" s="10" t="s">
        <v>3261</v>
      </c>
      <c r="P269" s="5" t="s">
        <v>3262</v>
      </c>
      <c r="Q269" s="5" t="s">
        <v>3263</v>
      </c>
      <c r="R269" s="5" t="s">
        <v>3264</v>
      </c>
      <c r="S269" s="5" t="s">
        <v>3265</v>
      </c>
      <c r="T269" s="5" t="s">
        <v>3266</v>
      </c>
      <c r="U269" s="5" t="s">
        <v>3267</v>
      </c>
      <c r="V269" s="5" t="s">
        <v>3268</v>
      </c>
      <c r="W269" s="5" t="s">
        <v>3269</v>
      </c>
      <c r="X269" s="5" t="s">
        <v>3270</v>
      </c>
      <c r="Y269" s="5" t="s">
        <v>3271</v>
      </c>
      <c r="Z269" s="5">
        <v>6.0</v>
      </c>
      <c r="AA269" s="5">
        <v>2026.0</v>
      </c>
      <c r="AB269" s="5" t="s">
        <v>34</v>
      </c>
    </row>
    <row r="270" ht="15.75" customHeight="1">
      <c r="A270" s="4" t="s">
        <v>3272</v>
      </c>
      <c r="B270" s="5" t="s">
        <v>2820</v>
      </c>
      <c r="C270" s="12" t="s">
        <v>3273</v>
      </c>
      <c r="D270" s="7" t="s">
        <v>3274</v>
      </c>
      <c r="E270" s="5"/>
      <c r="F270" s="5" t="s">
        <v>81</v>
      </c>
      <c r="G270" s="5" t="s">
        <v>2138</v>
      </c>
      <c r="H270" s="5" t="s">
        <v>83</v>
      </c>
      <c r="I270" s="8">
        <v>118.0</v>
      </c>
      <c r="J270" s="9" t="s">
        <v>35</v>
      </c>
      <c r="K270" s="5" t="s">
        <v>2138</v>
      </c>
      <c r="L270" s="5" t="s">
        <v>83</v>
      </c>
      <c r="M270" s="5"/>
      <c r="N270" s="5"/>
      <c r="O270" s="5"/>
      <c r="P270" s="5" t="s">
        <v>3275</v>
      </c>
      <c r="Q270" s="5" t="s">
        <v>3276</v>
      </c>
      <c r="R270" s="5" t="s">
        <v>3277</v>
      </c>
      <c r="S270" s="5" t="s">
        <v>3278</v>
      </c>
      <c r="T270" s="5" t="s">
        <v>3279</v>
      </c>
      <c r="U270" s="5" t="s">
        <v>3280</v>
      </c>
      <c r="V270" s="5" t="s">
        <v>3281</v>
      </c>
      <c r="W270" s="5" t="s">
        <v>3282</v>
      </c>
      <c r="X270" s="5" t="s">
        <v>3283</v>
      </c>
      <c r="Y270" s="5" t="s">
        <v>3284</v>
      </c>
      <c r="Z270" s="5">
        <v>2.0</v>
      </c>
      <c r="AA270" s="5">
        <v>2026.0</v>
      </c>
      <c r="AB270" s="5" t="s">
        <v>83</v>
      </c>
    </row>
    <row r="271" ht="15.75" customHeight="1">
      <c r="A271" s="4" t="s">
        <v>3285</v>
      </c>
      <c r="B271" s="5" t="s">
        <v>2820</v>
      </c>
      <c r="C271" s="12" t="str">
        <f>"https://" &amp; "letterboxd" &amp; ".com/film/fissuras/"</f>
        <v>https://letterboxd.com/film/fissuras/</v>
      </c>
      <c r="D271" s="7" t="s">
        <v>3286</v>
      </c>
      <c r="E271" s="5"/>
      <c r="F271" s="5" t="s">
        <v>81</v>
      </c>
      <c r="G271" s="5" t="s">
        <v>2138</v>
      </c>
      <c r="H271" s="5" t="s">
        <v>34</v>
      </c>
      <c r="I271" s="8">
        <v>13.0</v>
      </c>
      <c r="J271" s="9" t="s">
        <v>35</v>
      </c>
      <c r="K271" s="5" t="s">
        <v>2138</v>
      </c>
      <c r="L271" s="5" t="s">
        <v>34</v>
      </c>
      <c r="M271" s="5"/>
      <c r="N271" s="5"/>
      <c r="O271" s="5"/>
      <c r="P271" s="5" t="s">
        <v>3287</v>
      </c>
      <c r="Q271" s="5" t="s">
        <v>3287</v>
      </c>
      <c r="R271" s="5" t="s">
        <v>3288</v>
      </c>
      <c r="S271" s="5"/>
      <c r="T271" s="5" t="s">
        <v>3289</v>
      </c>
      <c r="U271" s="5" t="s">
        <v>3290</v>
      </c>
      <c r="V271" s="5"/>
      <c r="W271" s="5" t="s">
        <v>3291</v>
      </c>
      <c r="X271" s="5" t="s">
        <v>3292</v>
      </c>
      <c r="Y271" s="5" t="s">
        <v>3293</v>
      </c>
      <c r="Z271" s="5">
        <v>4.0</v>
      </c>
      <c r="AA271" s="5">
        <v>2026.0</v>
      </c>
      <c r="AB271" s="5" t="s">
        <v>34</v>
      </c>
    </row>
    <row r="272" ht="15.75" customHeight="1">
      <c r="A272" s="4" t="s">
        <v>3294</v>
      </c>
      <c r="B272" s="5" t="s">
        <v>2820</v>
      </c>
      <c r="C272" s="12" t="str">
        <f>"https://" &amp; "letterboxd" &amp; ".com/film/flora-airto-o-som-revolucionario/"</f>
        <v>https://letterboxd.com/film/flora-airto-o-som-revolucionario/</v>
      </c>
      <c r="D272" s="7" t="s">
        <v>3295</v>
      </c>
      <c r="E272" s="5"/>
      <c r="F272" s="5" t="s">
        <v>81</v>
      </c>
      <c r="G272" s="5" t="s">
        <v>2138</v>
      </c>
      <c r="H272" s="5" t="s">
        <v>83</v>
      </c>
      <c r="I272" s="8">
        <v>96.0</v>
      </c>
      <c r="J272" s="9" t="s">
        <v>35</v>
      </c>
      <c r="K272" s="5" t="s">
        <v>2138</v>
      </c>
      <c r="L272" s="5" t="s">
        <v>83</v>
      </c>
      <c r="M272" s="5"/>
      <c r="N272" s="5"/>
      <c r="O272" s="5"/>
      <c r="P272" s="5" t="s">
        <v>3296</v>
      </c>
      <c r="Q272" s="5" t="s">
        <v>3297</v>
      </c>
      <c r="R272" s="5" t="s">
        <v>3298</v>
      </c>
      <c r="S272" s="5" t="s">
        <v>3296</v>
      </c>
      <c r="T272" s="5" t="s">
        <v>3189</v>
      </c>
      <c r="U272" s="5" t="s">
        <v>3299</v>
      </c>
      <c r="V272" s="5" t="s">
        <v>3300</v>
      </c>
      <c r="W272" s="5"/>
      <c r="X272" s="5" t="s">
        <v>3301</v>
      </c>
      <c r="Y272" s="5" t="s">
        <v>3302</v>
      </c>
      <c r="Z272" s="5">
        <v>3.0</v>
      </c>
      <c r="AA272" s="5">
        <v>2026.0</v>
      </c>
      <c r="AB272" s="5" t="s">
        <v>83</v>
      </c>
    </row>
    <row r="273" ht="15.75" customHeight="1">
      <c r="A273" s="4" t="s">
        <v>3303</v>
      </c>
      <c r="B273" s="5" t="s">
        <v>2820</v>
      </c>
      <c r="C273" s="12" t="str">
        <f>"https://" &amp; "letterboxd" &amp; ".com/film/floresta-do-fim-do-mundo/"</f>
        <v>https://letterboxd.com/film/floresta-do-fim-do-mundo/</v>
      </c>
      <c r="D273" s="7" t="s">
        <v>3304</v>
      </c>
      <c r="E273" s="5"/>
      <c r="F273" s="5" t="s">
        <v>81</v>
      </c>
      <c r="G273" s="5" t="s">
        <v>2138</v>
      </c>
      <c r="H273" s="5" t="s">
        <v>34</v>
      </c>
      <c r="I273" s="8">
        <v>25.0</v>
      </c>
      <c r="J273" s="9" t="s">
        <v>35</v>
      </c>
      <c r="K273" s="5" t="s">
        <v>2138</v>
      </c>
      <c r="L273" s="5" t="s">
        <v>34</v>
      </c>
      <c r="M273" s="5"/>
      <c r="N273" s="5"/>
      <c r="O273" s="5"/>
      <c r="P273" s="5" t="s">
        <v>3305</v>
      </c>
      <c r="Q273" s="5" t="s">
        <v>3306</v>
      </c>
      <c r="R273" s="5" t="s">
        <v>3307</v>
      </c>
      <c r="S273" s="5" t="s">
        <v>3308</v>
      </c>
      <c r="T273" s="5" t="s">
        <v>2838</v>
      </c>
      <c r="U273" s="5" t="s">
        <v>3309</v>
      </c>
      <c r="V273" s="5" t="s">
        <v>3310</v>
      </c>
      <c r="W273" s="5" t="s">
        <v>3311</v>
      </c>
      <c r="X273" s="5" t="s">
        <v>3312</v>
      </c>
      <c r="Y273" s="5" t="s">
        <v>3313</v>
      </c>
      <c r="Z273" s="5">
        <v>4.0</v>
      </c>
      <c r="AA273" s="5">
        <v>2026.0</v>
      </c>
      <c r="AB273" s="5" t="s">
        <v>34</v>
      </c>
    </row>
    <row r="274" ht="15.75" customHeight="1">
      <c r="A274" s="4" t="s">
        <v>3314</v>
      </c>
      <c r="B274" s="5" t="s">
        <v>2820</v>
      </c>
      <c r="C274" s="12" t="str">
        <f>"https://" &amp; "letterboxd" &amp; ".com/film/fortaleza-2025/"</f>
        <v>https://letterboxd.com/film/fortaleza-2025/</v>
      </c>
      <c r="D274" s="7" t="s">
        <v>3315</v>
      </c>
      <c r="E274" s="5"/>
      <c r="F274" s="5" t="s">
        <v>81</v>
      </c>
      <c r="G274" s="5" t="s">
        <v>2138</v>
      </c>
      <c r="H274" s="5" t="s">
        <v>83</v>
      </c>
      <c r="I274" s="8">
        <v>15.0</v>
      </c>
      <c r="J274" s="9" t="s">
        <v>98</v>
      </c>
      <c r="K274" s="5" t="s">
        <v>2138</v>
      </c>
      <c r="L274" s="5" t="s">
        <v>83</v>
      </c>
      <c r="M274" s="5"/>
      <c r="N274" s="5"/>
      <c r="O274" s="5"/>
      <c r="P274" s="5" t="s">
        <v>3316</v>
      </c>
      <c r="Q274" s="5" t="s">
        <v>3316</v>
      </c>
      <c r="R274" s="5" t="s">
        <v>3317</v>
      </c>
      <c r="S274" s="5" t="s">
        <v>3318</v>
      </c>
      <c r="T274" s="5" t="s">
        <v>3319</v>
      </c>
      <c r="U274" s="5" t="s">
        <v>3320</v>
      </c>
      <c r="V274" s="5" t="s">
        <v>3321</v>
      </c>
      <c r="W274" s="5" t="s">
        <v>3322</v>
      </c>
      <c r="X274" s="5" t="s">
        <v>3323</v>
      </c>
      <c r="Y274" s="5" t="s">
        <v>3324</v>
      </c>
      <c r="Z274" s="5">
        <v>4.0</v>
      </c>
      <c r="AA274" s="5">
        <v>2025.0</v>
      </c>
      <c r="AB274" s="5" t="s">
        <v>83</v>
      </c>
    </row>
    <row r="275" ht="15.75" customHeight="1">
      <c r="A275" s="4" t="s">
        <v>3325</v>
      </c>
      <c r="B275" s="5" t="s">
        <v>2820</v>
      </c>
      <c r="C275" s="12" t="str">
        <f>"https://" &amp; "letterboxd" &amp; ".com/film/fui-olhar-voce-dormir/"</f>
        <v>https://letterboxd.com/film/fui-olhar-voce-dormir/</v>
      </c>
      <c r="D275" s="7" t="s">
        <v>3326</v>
      </c>
      <c r="E275" s="5"/>
      <c r="F275" s="5" t="s">
        <v>81</v>
      </c>
      <c r="G275" s="5" t="s">
        <v>2138</v>
      </c>
      <c r="H275" s="5" t="s">
        <v>83</v>
      </c>
      <c r="I275" s="8">
        <v>73.0</v>
      </c>
      <c r="J275" s="9" t="s">
        <v>35</v>
      </c>
      <c r="K275" s="5" t="s">
        <v>2138</v>
      </c>
      <c r="L275" s="5" t="s">
        <v>83</v>
      </c>
      <c r="M275" s="5"/>
      <c r="N275" s="5"/>
      <c r="O275" s="5"/>
      <c r="P275" s="5" t="s">
        <v>3327</v>
      </c>
      <c r="Q275" s="5" t="s">
        <v>3328</v>
      </c>
      <c r="R275" s="5" t="s">
        <v>3329</v>
      </c>
      <c r="S275" s="5" t="s">
        <v>3330</v>
      </c>
      <c r="T275" s="5" t="s">
        <v>3201</v>
      </c>
      <c r="U275" s="5" t="s">
        <v>3331</v>
      </c>
      <c r="V275" s="5" t="s">
        <v>3332</v>
      </c>
      <c r="W275" s="5" t="s">
        <v>3333</v>
      </c>
      <c r="X275" s="5" t="s">
        <v>3334</v>
      </c>
      <c r="Y275" s="5" t="s">
        <v>3335</v>
      </c>
      <c r="Z275" s="5">
        <v>4.0</v>
      </c>
      <c r="AA275" s="5">
        <v>2026.0</v>
      </c>
      <c r="AB275" s="5" t="s">
        <v>83</v>
      </c>
    </row>
    <row r="276" ht="15.75" customHeight="1">
      <c r="A276" s="4" t="s">
        <v>3336</v>
      </c>
      <c r="B276" s="5" t="s">
        <v>2820</v>
      </c>
      <c r="C276" s="12" t="s">
        <v>3337</v>
      </c>
      <c r="D276" s="7" t="s">
        <v>3338</v>
      </c>
      <c r="E276" s="5"/>
      <c r="F276" s="5" t="s">
        <v>81</v>
      </c>
      <c r="G276" s="5" t="s">
        <v>2138</v>
      </c>
      <c r="H276" s="5" t="s">
        <v>34</v>
      </c>
      <c r="I276" s="8">
        <v>24.0</v>
      </c>
      <c r="J276" s="9" t="s">
        <v>35</v>
      </c>
      <c r="K276" s="5" t="s">
        <v>2138</v>
      </c>
      <c r="L276" s="5" t="s">
        <v>34</v>
      </c>
      <c r="M276" s="5"/>
      <c r="N276" s="5"/>
      <c r="O276" s="5"/>
      <c r="P276" s="5" t="s">
        <v>3339</v>
      </c>
      <c r="Q276" s="5" t="s">
        <v>3339</v>
      </c>
      <c r="R276" s="5" t="s">
        <v>3340</v>
      </c>
      <c r="S276" s="5" t="s">
        <v>3339</v>
      </c>
      <c r="T276" s="5" t="s">
        <v>3339</v>
      </c>
      <c r="U276" s="5" t="s">
        <v>3339</v>
      </c>
      <c r="V276" s="5" t="s">
        <v>3341</v>
      </c>
      <c r="W276" s="5" t="s">
        <v>3342</v>
      </c>
      <c r="X276" s="5" t="s">
        <v>3343</v>
      </c>
      <c r="Y276" s="5" t="s">
        <v>3344</v>
      </c>
      <c r="Z276" s="5">
        <v>4.0</v>
      </c>
      <c r="AA276" s="5">
        <v>2026.0</v>
      </c>
      <c r="AB276" s="5" t="s">
        <v>34</v>
      </c>
    </row>
    <row r="277" ht="15.75" customHeight="1">
      <c r="A277" s="4" t="s">
        <v>3345</v>
      </c>
      <c r="B277" s="5" t="s">
        <v>2820</v>
      </c>
      <c r="C277" s="12" t="s">
        <v>3346</v>
      </c>
      <c r="D277" s="7" t="s">
        <v>3347</v>
      </c>
      <c r="E277" s="5"/>
      <c r="F277" s="5" t="s">
        <v>81</v>
      </c>
      <c r="G277" s="5" t="s">
        <v>2138</v>
      </c>
      <c r="H277" s="5" t="s">
        <v>34</v>
      </c>
      <c r="I277" s="8">
        <v>107.0</v>
      </c>
      <c r="J277" s="9" t="s">
        <v>35</v>
      </c>
      <c r="K277" s="5" t="s">
        <v>2138</v>
      </c>
      <c r="L277" s="5" t="s">
        <v>34</v>
      </c>
      <c r="M277" s="5"/>
      <c r="N277" s="5"/>
      <c r="O277" s="5"/>
      <c r="P277" s="5" t="s">
        <v>3348</v>
      </c>
      <c r="Q277" s="5" t="s">
        <v>3349</v>
      </c>
      <c r="R277" s="5" t="s">
        <v>3350</v>
      </c>
      <c r="S277" s="5"/>
      <c r="T277" s="5" t="s">
        <v>3351</v>
      </c>
      <c r="U277" s="5" t="s">
        <v>3352</v>
      </c>
      <c r="V277" s="5" t="s">
        <v>3353</v>
      </c>
      <c r="W277" s="5" t="s">
        <v>3354</v>
      </c>
      <c r="X277" s="5" t="s">
        <v>3355</v>
      </c>
      <c r="Y277" s="5" t="s">
        <v>3356</v>
      </c>
      <c r="Z277" s="5">
        <v>4.0</v>
      </c>
      <c r="AA277" s="5">
        <v>2026.0</v>
      </c>
      <c r="AB277" s="5" t="s">
        <v>34</v>
      </c>
    </row>
    <row r="278" ht="15.75" customHeight="1">
      <c r="A278" s="4" t="s">
        <v>3357</v>
      </c>
      <c r="B278" s="5" t="s">
        <v>2820</v>
      </c>
      <c r="C278" s="12" t="str">
        <f>"https://" &amp; "letterboxd" &amp; ".com/film/helena-cinema/"</f>
        <v>https://letterboxd.com/film/helena-cinema/</v>
      </c>
      <c r="D278" s="7" t="s">
        <v>3358</v>
      </c>
      <c r="E278" s="5" t="s">
        <v>3358</v>
      </c>
      <c r="F278" s="5" t="s">
        <v>32</v>
      </c>
      <c r="G278" s="5" t="s">
        <v>2138</v>
      </c>
      <c r="H278" s="5" t="s">
        <v>83</v>
      </c>
      <c r="I278" s="8">
        <v>13.0</v>
      </c>
      <c r="J278" s="9" t="s">
        <v>35</v>
      </c>
      <c r="K278" s="5" t="s">
        <v>2138</v>
      </c>
      <c r="L278" s="5" t="s">
        <v>83</v>
      </c>
      <c r="M278" s="5"/>
      <c r="N278" s="5"/>
      <c r="O278" s="5"/>
      <c r="P278" s="5" t="s">
        <v>3359</v>
      </c>
      <c r="Q278" s="5" t="s">
        <v>3360</v>
      </c>
      <c r="R278" s="5" t="s">
        <v>3361</v>
      </c>
      <c r="S278" s="5"/>
      <c r="T278" s="5" t="s">
        <v>2838</v>
      </c>
      <c r="U278" s="5" t="s">
        <v>3362</v>
      </c>
      <c r="V278" s="5" t="s">
        <v>3363</v>
      </c>
      <c r="W278" s="5" t="s">
        <v>3364</v>
      </c>
      <c r="X278" s="5" t="s">
        <v>3365</v>
      </c>
      <c r="Y278" s="5" t="s">
        <v>3366</v>
      </c>
      <c r="Z278" s="5">
        <v>2.0</v>
      </c>
      <c r="AA278" s="5">
        <v>2026.0</v>
      </c>
      <c r="AB278" s="5" t="s">
        <v>83</v>
      </c>
    </row>
    <row r="279" ht="15.75" customHeight="1">
      <c r="A279" s="4" t="s">
        <v>3367</v>
      </c>
      <c r="B279" s="5" t="s">
        <v>2820</v>
      </c>
      <c r="C279" s="12" t="s">
        <v>3368</v>
      </c>
      <c r="D279" s="7" t="s">
        <v>3369</v>
      </c>
      <c r="E279" s="5"/>
      <c r="F279" s="5" t="s">
        <v>81</v>
      </c>
      <c r="G279" s="5" t="s">
        <v>2138</v>
      </c>
      <c r="H279" s="5" t="s">
        <v>34</v>
      </c>
      <c r="I279" s="8">
        <v>85.0</v>
      </c>
      <c r="J279" s="9" t="s">
        <v>35</v>
      </c>
      <c r="K279" s="5" t="s">
        <v>2138</v>
      </c>
      <c r="L279" s="5" t="s">
        <v>34</v>
      </c>
      <c r="M279" s="5"/>
      <c r="N279" s="5"/>
      <c r="O279" s="5"/>
      <c r="P279" s="5" t="s">
        <v>3370</v>
      </c>
      <c r="Q279" s="5" t="s">
        <v>3371</v>
      </c>
      <c r="R279" s="5" t="s">
        <v>3372</v>
      </c>
      <c r="S279" s="5" t="s">
        <v>3373</v>
      </c>
      <c r="T279" s="5" t="s">
        <v>3374</v>
      </c>
      <c r="U279" s="5" t="s">
        <v>3370</v>
      </c>
      <c r="V279" s="5" t="s">
        <v>3375</v>
      </c>
      <c r="W279" s="5" t="s">
        <v>3376</v>
      </c>
      <c r="X279" s="5" t="s">
        <v>3377</v>
      </c>
      <c r="Y279" s="5" t="s">
        <v>3378</v>
      </c>
      <c r="Z279" s="5">
        <v>4.0</v>
      </c>
      <c r="AA279" s="5">
        <v>2026.0</v>
      </c>
      <c r="AB279" s="5" t="s">
        <v>34</v>
      </c>
    </row>
    <row r="280" ht="15.75" customHeight="1">
      <c r="A280" s="4" t="s">
        <v>3379</v>
      </c>
      <c r="B280" s="5" t="s">
        <v>2820</v>
      </c>
      <c r="C280" s="12" t="s">
        <v>3380</v>
      </c>
      <c r="D280" s="7" t="s">
        <v>3381</v>
      </c>
      <c r="E280" s="5"/>
      <c r="F280" s="5" t="s">
        <v>81</v>
      </c>
      <c r="G280" s="5" t="s">
        <v>2138</v>
      </c>
      <c r="H280" s="5" t="s">
        <v>83</v>
      </c>
      <c r="I280" s="8">
        <v>73.0</v>
      </c>
      <c r="J280" s="9" t="s">
        <v>3382</v>
      </c>
      <c r="K280" s="5" t="s">
        <v>2138</v>
      </c>
      <c r="L280" s="5" t="s">
        <v>83</v>
      </c>
      <c r="M280" s="5"/>
      <c r="N280" s="5"/>
      <c r="O280" s="5"/>
      <c r="P280" s="5" t="s">
        <v>3383</v>
      </c>
      <c r="Q280" s="5" t="s">
        <v>3384</v>
      </c>
      <c r="R280" s="5" t="s">
        <v>3385</v>
      </c>
      <c r="S280" s="5" t="s">
        <v>3386</v>
      </c>
      <c r="T280" s="5" t="s">
        <v>3387</v>
      </c>
      <c r="U280" s="5" t="s">
        <v>3388</v>
      </c>
      <c r="V280" s="5" t="s">
        <v>3389</v>
      </c>
      <c r="W280" s="5" t="s">
        <v>3390</v>
      </c>
      <c r="X280" s="5" t="s">
        <v>3391</v>
      </c>
      <c r="Y280" s="5" t="s">
        <v>3392</v>
      </c>
      <c r="Z280" s="5">
        <v>1.0</v>
      </c>
      <c r="AA280" s="5">
        <v>2001.0</v>
      </c>
      <c r="AB280" s="5" t="s">
        <v>83</v>
      </c>
    </row>
    <row r="281" ht="15.75" customHeight="1">
      <c r="A281" s="4" t="s">
        <v>3393</v>
      </c>
      <c r="B281" s="5" t="s">
        <v>2820</v>
      </c>
      <c r="C281" s="12" t="s">
        <v>3394</v>
      </c>
      <c r="D281" s="7" t="s">
        <v>3395</v>
      </c>
      <c r="E281" s="5"/>
      <c r="F281" s="5" t="s">
        <v>81</v>
      </c>
      <c r="G281" s="5" t="s">
        <v>2138</v>
      </c>
      <c r="H281" s="5" t="s">
        <v>34</v>
      </c>
      <c r="I281" s="8">
        <v>93.0</v>
      </c>
      <c r="J281" s="9" t="s">
        <v>35</v>
      </c>
      <c r="K281" s="5" t="s">
        <v>2138</v>
      </c>
      <c r="L281" s="5" t="s">
        <v>34</v>
      </c>
      <c r="M281" s="5"/>
      <c r="N281" s="5"/>
      <c r="O281" s="5"/>
      <c r="P281" s="5" t="s">
        <v>3396</v>
      </c>
      <c r="Q281" s="5" t="s">
        <v>3396</v>
      </c>
      <c r="R281" s="5" t="s">
        <v>3397</v>
      </c>
      <c r="S281" s="5" t="s">
        <v>3398</v>
      </c>
      <c r="T281" s="5" t="s">
        <v>3399</v>
      </c>
      <c r="U281" s="5" t="s">
        <v>3400</v>
      </c>
      <c r="V281" s="5" t="s">
        <v>3401</v>
      </c>
      <c r="W281" s="5" t="s">
        <v>3402</v>
      </c>
      <c r="X281" s="5" t="s">
        <v>3403</v>
      </c>
      <c r="Y281" s="5" t="s">
        <v>3404</v>
      </c>
      <c r="Z281" s="5">
        <v>4.0</v>
      </c>
      <c r="AA281" s="5">
        <v>2026.0</v>
      </c>
      <c r="AB281" s="5" t="s">
        <v>34</v>
      </c>
    </row>
    <row r="282" ht="15.75" customHeight="1">
      <c r="A282" s="4" t="s">
        <v>3405</v>
      </c>
      <c r="B282" s="5" t="s">
        <v>2820</v>
      </c>
      <c r="C282" s="12" t="s">
        <v>3406</v>
      </c>
      <c r="D282" s="7" t="s">
        <v>3407</v>
      </c>
      <c r="E282" s="5"/>
      <c r="F282" s="5" t="s">
        <v>81</v>
      </c>
      <c r="G282" s="5" t="s">
        <v>2138</v>
      </c>
      <c r="H282" s="5" t="s">
        <v>34</v>
      </c>
      <c r="I282" s="8">
        <v>13.0</v>
      </c>
      <c r="J282" s="9" t="s">
        <v>35</v>
      </c>
      <c r="K282" s="5" t="s">
        <v>2138</v>
      </c>
      <c r="L282" s="5" t="s">
        <v>34</v>
      </c>
      <c r="M282" s="5"/>
      <c r="N282" s="5"/>
      <c r="O282" s="5"/>
      <c r="P282" s="5" t="s">
        <v>3408</v>
      </c>
      <c r="Q282" s="5" t="s">
        <v>3408</v>
      </c>
      <c r="R282" s="5" t="s">
        <v>3409</v>
      </c>
      <c r="S282" s="5" t="s">
        <v>3410</v>
      </c>
      <c r="T282" s="5" t="s">
        <v>3411</v>
      </c>
      <c r="U282" s="5" t="s">
        <v>3412</v>
      </c>
      <c r="V282" s="5" t="s">
        <v>3413</v>
      </c>
      <c r="W282" s="5" t="s">
        <v>3414</v>
      </c>
      <c r="X282" s="5" t="s">
        <v>3415</v>
      </c>
      <c r="Y282" s="5" t="s">
        <v>3416</v>
      </c>
      <c r="Z282" s="5">
        <v>4.0</v>
      </c>
      <c r="AA282" s="5">
        <v>2026.0</v>
      </c>
      <c r="AB282" s="5" t="s">
        <v>34</v>
      </c>
    </row>
    <row r="283" ht="15.75" customHeight="1">
      <c r="A283" s="4" t="s">
        <v>3417</v>
      </c>
      <c r="B283" s="5" t="s">
        <v>2820</v>
      </c>
      <c r="C283" s="12" t="s">
        <v>3418</v>
      </c>
      <c r="D283" s="7" t="s">
        <v>3419</v>
      </c>
      <c r="E283" s="5"/>
      <c r="F283" s="5" t="s">
        <v>81</v>
      </c>
      <c r="G283" s="5" t="s">
        <v>2138</v>
      </c>
      <c r="H283" s="5" t="s">
        <v>34</v>
      </c>
      <c r="I283" s="8">
        <v>120.0</v>
      </c>
      <c r="J283" s="9" t="s">
        <v>35</v>
      </c>
      <c r="K283" s="5" t="s">
        <v>2138</v>
      </c>
      <c r="L283" s="5" t="s">
        <v>34</v>
      </c>
      <c r="M283" s="5"/>
      <c r="N283" s="5"/>
      <c r="O283" s="5"/>
      <c r="P283" s="5" t="s">
        <v>3420</v>
      </c>
      <c r="Q283" s="5" t="s">
        <v>3421</v>
      </c>
      <c r="R283" s="5" t="s">
        <v>3422</v>
      </c>
      <c r="S283" s="5" t="s">
        <v>3423</v>
      </c>
      <c r="T283" s="5" t="s">
        <v>3424</v>
      </c>
      <c r="U283" s="5" t="s">
        <v>3425</v>
      </c>
      <c r="V283" s="5" t="s">
        <v>3426</v>
      </c>
      <c r="W283" s="5" t="s">
        <v>3427</v>
      </c>
      <c r="X283" s="5" t="s">
        <v>3428</v>
      </c>
      <c r="Y283" s="5" t="s">
        <v>3429</v>
      </c>
      <c r="Z283" s="5">
        <v>2.0</v>
      </c>
      <c r="AA283" s="5">
        <v>2026.0</v>
      </c>
      <c r="AB283" s="5" t="s">
        <v>34</v>
      </c>
    </row>
    <row r="284" ht="15.75" customHeight="1">
      <c r="A284" s="4" t="s">
        <v>3430</v>
      </c>
      <c r="B284" s="5" t="s">
        <v>2820</v>
      </c>
      <c r="C284" s="12" t="str">
        <f>"https://" &amp; "letterboxd" &amp; ".com/film/lagoa-do-abandono/"</f>
        <v>https://letterboxd.com/film/lagoa-do-abandono/</v>
      </c>
      <c r="D284" s="7" t="s">
        <v>3431</v>
      </c>
      <c r="E284" s="5"/>
      <c r="F284" s="5" t="s">
        <v>81</v>
      </c>
      <c r="G284" s="5" t="s">
        <v>2138</v>
      </c>
      <c r="H284" s="5" t="s">
        <v>795</v>
      </c>
      <c r="I284" s="8">
        <v>10.0</v>
      </c>
      <c r="J284" s="9" t="s">
        <v>35</v>
      </c>
      <c r="K284" s="5" t="s">
        <v>2138</v>
      </c>
      <c r="L284" s="5" t="s">
        <v>795</v>
      </c>
      <c r="M284" s="5"/>
      <c r="N284" s="5"/>
      <c r="O284" s="5"/>
      <c r="P284" s="5" t="s">
        <v>3432</v>
      </c>
      <c r="Q284" s="5" t="s">
        <v>3433</v>
      </c>
      <c r="R284" s="5" t="s">
        <v>3434</v>
      </c>
      <c r="S284" s="5"/>
      <c r="T284" s="5" t="s">
        <v>3432</v>
      </c>
      <c r="U284" s="5" t="s">
        <v>3432</v>
      </c>
      <c r="V284" s="5" t="s">
        <v>3435</v>
      </c>
      <c r="W284" s="5" t="s">
        <v>795</v>
      </c>
      <c r="X284" s="5" t="s">
        <v>3436</v>
      </c>
      <c r="Y284" s="5" t="s">
        <v>3437</v>
      </c>
      <c r="Z284" s="5">
        <v>4.0</v>
      </c>
      <c r="AA284" s="5">
        <v>2026.0</v>
      </c>
      <c r="AB284" s="5" t="s">
        <v>795</v>
      </c>
    </row>
    <row r="285" ht="15.75" customHeight="1">
      <c r="A285" s="4" t="s">
        <v>3438</v>
      </c>
      <c r="B285" s="5" t="s">
        <v>2820</v>
      </c>
      <c r="C285" s="12" t="str">
        <f>"https://" &amp; "letterboxd" &amp; ".com/film/laser-gato/"</f>
        <v>https://letterboxd.com/film/laser-gato/</v>
      </c>
      <c r="D285" s="7" t="s">
        <v>3439</v>
      </c>
      <c r="E285" s="5"/>
      <c r="F285" s="5" t="s">
        <v>81</v>
      </c>
      <c r="G285" s="5" t="s">
        <v>2138</v>
      </c>
      <c r="H285" s="5" t="s">
        <v>34</v>
      </c>
      <c r="I285" s="8">
        <v>22.0</v>
      </c>
      <c r="J285" s="9" t="s">
        <v>35</v>
      </c>
      <c r="K285" s="5" t="s">
        <v>2138</v>
      </c>
      <c r="L285" s="5" t="s">
        <v>34</v>
      </c>
      <c r="M285" s="10" t="s">
        <v>65</v>
      </c>
      <c r="N285" s="10" t="s">
        <v>66</v>
      </c>
      <c r="O285" s="10" t="s">
        <v>3440</v>
      </c>
      <c r="P285" s="10" t="s">
        <v>3441</v>
      </c>
      <c r="Q285" s="5"/>
      <c r="R285" s="5" t="s">
        <v>3442</v>
      </c>
      <c r="S285" s="5" t="s">
        <v>3443</v>
      </c>
      <c r="T285" s="5" t="s">
        <v>3444</v>
      </c>
      <c r="U285" s="5" t="s">
        <v>3441</v>
      </c>
      <c r="V285" s="5" t="s">
        <v>3445</v>
      </c>
      <c r="W285" s="5" t="s">
        <v>3446</v>
      </c>
      <c r="X285" s="5" t="s">
        <v>3447</v>
      </c>
      <c r="Y285" s="10" t="s">
        <v>3448</v>
      </c>
      <c r="Z285" s="5">
        <v>4.0</v>
      </c>
      <c r="AA285" s="5">
        <v>2026.0</v>
      </c>
      <c r="AB285" s="5" t="s">
        <v>34</v>
      </c>
    </row>
    <row r="286" ht="15.75" customHeight="1">
      <c r="A286" s="4" t="s">
        <v>3449</v>
      </c>
      <c r="B286" s="5" t="s">
        <v>2820</v>
      </c>
      <c r="C286" s="12" t="s">
        <v>3450</v>
      </c>
      <c r="D286" s="7" t="s">
        <v>3451</v>
      </c>
      <c r="E286" s="5"/>
      <c r="F286" s="5" t="s">
        <v>81</v>
      </c>
      <c r="G286" s="5" t="s">
        <v>2138</v>
      </c>
      <c r="H286" s="5" t="s">
        <v>34</v>
      </c>
      <c r="I286" s="8">
        <v>90.0</v>
      </c>
      <c r="J286" s="9" t="s">
        <v>35</v>
      </c>
      <c r="K286" s="5" t="s">
        <v>2138</v>
      </c>
      <c r="L286" s="5" t="s">
        <v>34</v>
      </c>
      <c r="M286" s="10" t="s">
        <v>65</v>
      </c>
      <c r="N286" s="10" t="s">
        <v>111</v>
      </c>
      <c r="O286" s="10" t="s">
        <v>3452</v>
      </c>
      <c r="P286" s="5" t="s">
        <v>3453</v>
      </c>
      <c r="Q286" s="5" t="s">
        <v>3453</v>
      </c>
      <c r="R286" s="5" t="s">
        <v>3454</v>
      </c>
      <c r="S286" s="5" t="s">
        <v>3455</v>
      </c>
      <c r="T286" s="5" t="s">
        <v>3456</v>
      </c>
      <c r="U286" s="5" t="s">
        <v>3457</v>
      </c>
      <c r="V286" s="5" t="s">
        <v>3458</v>
      </c>
      <c r="W286" s="5" t="s">
        <v>3459</v>
      </c>
      <c r="X286" s="5" t="s">
        <v>3460</v>
      </c>
      <c r="Y286" s="5" t="s">
        <v>3461</v>
      </c>
      <c r="Z286" s="5">
        <v>4.0</v>
      </c>
      <c r="AA286" s="5">
        <v>2026.0</v>
      </c>
      <c r="AB286" s="5" t="s">
        <v>34</v>
      </c>
    </row>
    <row r="287" ht="15.75" customHeight="1">
      <c r="A287" s="4" t="s">
        <v>3462</v>
      </c>
      <c r="B287" s="5" t="s">
        <v>2820</v>
      </c>
      <c r="C287" s="12" t="s">
        <v>3463</v>
      </c>
      <c r="D287" s="7" t="s">
        <v>3464</v>
      </c>
      <c r="E287" s="5"/>
      <c r="F287" s="5" t="s">
        <v>81</v>
      </c>
      <c r="G287" s="5" t="s">
        <v>2138</v>
      </c>
      <c r="H287" s="5" t="s">
        <v>34</v>
      </c>
      <c r="I287" s="8">
        <v>97.0</v>
      </c>
      <c r="J287" s="9" t="s">
        <v>35</v>
      </c>
      <c r="K287" s="5" t="s">
        <v>2138</v>
      </c>
      <c r="L287" s="5" t="s">
        <v>34</v>
      </c>
      <c r="M287" s="5"/>
      <c r="N287" s="5"/>
      <c r="O287" s="5"/>
      <c r="P287" s="5" t="s">
        <v>3465</v>
      </c>
      <c r="Q287" s="5" t="s">
        <v>3466</v>
      </c>
      <c r="R287" s="5" t="s">
        <v>3467</v>
      </c>
      <c r="S287" s="5" t="s">
        <v>3468</v>
      </c>
      <c r="T287" s="5" t="s">
        <v>3146</v>
      </c>
      <c r="U287" s="5" t="s">
        <v>3469</v>
      </c>
      <c r="V287" s="5" t="s">
        <v>3470</v>
      </c>
      <c r="W287" s="5" t="s">
        <v>3471</v>
      </c>
      <c r="X287" s="5" t="s">
        <v>3472</v>
      </c>
      <c r="Y287" s="5" t="s">
        <v>3473</v>
      </c>
      <c r="Z287" s="5">
        <v>4.0</v>
      </c>
      <c r="AA287" s="5">
        <v>2026.0</v>
      </c>
      <c r="AB287" s="5" t="s">
        <v>34</v>
      </c>
    </row>
    <row r="288" ht="15.75" customHeight="1">
      <c r="A288" s="4" t="s">
        <v>3474</v>
      </c>
      <c r="B288" s="5" t="s">
        <v>2820</v>
      </c>
      <c r="C288" s="12" t="s">
        <v>3475</v>
      </c>
      <c r="D288" s="7" t="s">
        <v>3476</v>
      </c>
      <c r="E288" s="5"/>
      <c r="F288" s="5" t="s">
        <v>81</v>
      </c>
      <c r="G288" s="5" t="s">
        <v>2138</v>
      </c>
      <c r="H288" s="5" t="s">
        <v>34</v>
      </c>
      <c r="I288" s="8">
        <v>117.0</v>
      </c>
      <c r="J288" s="9" t="s">
        <v>35</v>
      </c>
      <c r="K288" s="5" t="s">
        <v>2138</v>
      </c>
      <c r="L288" s="5" t="s">
        <v>34</v>
      </c>
      <c r="M288" s="5"/>
      <c r="N288" s="5"/>
      <c r="O288" s="5"/>
      <c r="P288" s="5" t="s">
        <v>3477</v>
      </c>
      <c r="Q288" s="5" t="s">
        <v>3478</v>
      </c>
      <c r="R288" s="5" t="s">
        <v>3479</v>
      </c>
      <c r="S288" s="5" t="s">
        <v>3477</v>
      </c>
      <c r="T288" s="5" t="s">
        <v>2212</v>
      </c>
      <c r="U288" s="5" t="s">
        <v>3480</v>
      </c>
      <c r="V288" s="5" t="s">
        <v>3481</v>
      </c>
      <c r="W288" s="5" t="s">
        <v>3482</v>
      </c>
      <c r="X288" s="5" t="s">
        <v>3483</v>
      </c>
      <c r="Y288" s="5" t="s">
        <v>3484</v>
      </c>
      <c r="Z288" s="5">
        <v>4.0</v>
      </c>
      <c r="AA288" s="5">
        <v>2026.0</v>
      </c>
      <c r="AB288" s="5" t="s">
        <v>34</v>
      </c>
    </row>
    <row r="289" ht="15.75" customHeight="1">
      <c r="A289" s="4" t="s">
        <v>3485</v>
      </c>
      <c r="B289" s="5" t="s">
        <v>2820</v>
      </c>
      <c r="C289" s="12" t="str">
        <f>"https://" &amp; "letterboxd" &amp; ".com/film/marilia-mendonca-sentimento-louco/"</f>
        <v>https://letterboxd.com/film/marilia-mendonca-sentimento-louco/</v>
      </c>
      <c r="D289" s="7" t="s">
        <v>3486</v>
      </c>
      <c r="E289" s="5"/>
      <c r="F289" s="5" t="s">
        <v>81</v>
      </c>
      <c r="G289" s="5" t="s">
        <v>2138</v>
      </c>
      <c r="H289" s="5" t="s">
        <v>83</v>
      </c>
      <c r="I289" s="8">
        <v>48.0</v>
      </c>
      <c r="J289" s="9" t="s">
        <v>35</v>
      </c>
      <c r="K289" s="5" t="s">
        <v>2138</v>
      </c>
      <c r="L289" s="5" t="s">
        <v>83</v>
      </c>
      <c r="M289" s="5"/>
      <c r="N289" s="5"/>
      <c r="O289" s="5"/>
      <c r="P289" s="5" t="s">
        <v>2308</v>
      </c>
      <c r="Q289" s="5" t="s">
        <v>3487</v>
      </c>
      <c r="R289" s="5" t="s">
        <v>3488</v>
      </c>
      <c r="S289" s="5" t="s">
        <v>3489</v>
      </c>
      <c r="T289" s="5" t="s">
        <v>3490</v>
      </c>
      <c r="U289" s="5" t="s">
        <v>3491</v>
      </c>
      <c r="V289" s="5" t="s">
        <v>3492</v>
      </c>
      <c r="W289" s="5"/>
      <c r="X289" s="5" t="s">
        <v>3493</v>
      </c>
      <c r="Y289" s="5" t="s">
        <v>3494</v>
      </c>
      <c r="Z289" s="5">
        <v>1.0</v>
      </c>
      <c r="AA289" s="5">
        <v>2026.0</v>
      </c>
      <c r="AB289" s="5" t="s">
        <v>83</v>
      </c>
    </row>
    <row r="290" ht="15.75" customHeight="1">
      <c r="A290" s="4" t="s">
        <v>3495</v>
      </c>
      <c r="B290" s="5" t="s">
        <v>2820</v>
      </c>
      <c r="C290" s="12" t="str">
        <f>"https://" &amp; "letterboxd" &amp; ".com/film/mario-carneiro-gravura-feita-de-luz/"</f>
        <v>https://letterboxd.com/film/mario-carneiro-gravura-feita-de-luz/</v>
      </c>
      <c r="D290" s="7" t="s">
        <v>3496</v>
      </c>
      <c r="E290" s="5"/>
      <c r="F290" s="5" t="s">
        <v>81</v>
      </c>
      <c r="G290" s="5" t="s">
        <v>2138</v>
      </c>
      <c r="H290" s="5" t="s">
        <v>83</v>
      </c>
      <c r="I290" s="8">
        <v>80.0</v>
      </c>
      <c r="J290" s="9" t="s">
        <v>98</v>
      </c>
      <c r="K290" s="5" t="s">
        <v>2138</v>
      </c>
      <c r="L290" s="5" t="s">
        <v>83</v>
      </c>
      <c r="M290" s="5"/>
      <c r="N290" s="5"/>
      <c r="O290" s="5"/>
      <c r="P290" s="5" t="s">
        <v>3497</v>
      </c>
      <c r="Q290" s="5" t="s">
        <v>3497</v>
      </c>
      <c r="R290" s="5" t="s">
        <v>3498</v>
      </c>
      <c r="S290" s="5" t="s">
        <v>3499</v>
      </c>
      <c r="T290" s="5" t="s">
        <v>3500</v>
      </c>
      <c r="U290" s="5" t="s">
        <v>3501</v>
      </c>
      <c r="V290" s="5" t="s">
        <v>3502</v>
      </c>
      <c r="W290" s="5" t="s">
        <v>3503</v>
      </c>
      <c r="X290" s="5" t="s">
        <v>3504</v>
      </c>
      <c r="Y290" s="5" t="s">
        <v>3505</v>
      </c>
      <c r="Z290" s="5">
        <v>4.0</v>
      </c>
      <c r="AA290" s="5">
        <v>2025.0</v>
      </c>
      <c r="AB290" s="5" t="s">
        <v>83</v>
      </c>
    </row>
    <row r="291" ht="15.75" customHeight="1">
      <c r="A291" s="4" t="s">
        <v>3506</v>
      </c>
      <c r="B291" s="5" t="s">
        <v>2820</v>
      </c>
      <c r="C291" s="12" t="str">
        <f>"https://" &amp; "letterboxd" &amp; ".com/film/let-us-be/"</f>
        <v>https://letterboxd.com/film/let-us-be/</v>
      </c>
      <c r="D291" s="7" t="s">
        <v>3507</v>
      </c>
      <c r="E291" s="5" t="s">
        <v>3508</v>
      </c>
      <c r="F291" s="5" t="s">
        <v>32</v>
      </c>
      <c r="G291" s="5" t="s">
        <v>1958</v>
      </c>
      <c r="H291" s="5" t="s">
        <v>83</v>
      </c>
      <c r="I291" s="8">
        <v>88.0</v>
      </c>
      <c r="J291" s="9" t="s">
        <v>35</v>
      </c>
      <c r="K291" s="5" t="s">
        <v>3509</v>
      </c>
      <c r="L291" s="5" t="s">
        <v>83</v>
      </c>
      <c r="M291" s="5"/>
      <c r="N291" s="5"/>
      <c r="O291" s="5"/>
      <c r="P291" s="5" t="s">
        <v>3510</v>
      </c>
      <c r="Q291" s="5" t="s">
        <v>3511</v>
      </c>
      <c r="R291" s="5" t="s">
        <v>3512</v>
      </c>
      <c r="S291" s="5" t="s">
        <v>3513</v>
      </c>
      <c r="T291" s="5" t="s">
        <v>3514</v>
      </c>
      <c r="U291" s="5" t="s">
        <v>3515</v>
      </c>
      <c r="V291" s="5" t="s">
        <v>3516</v>
      </c>
      <c r="W291" s="5" t="s">
        <v>3517</v>
      </c>
      <c r="X291" s="5" t="s">
        <v>3518</v>
      </c>
      <c r="Y291" s="5" t="s">
        <v>3519</v>
      </c>
      <c r="Z291" s="5">
        <v>2.0</v>
      </c>
      <c r="AA291" s="5">
        <v>2026.0</v>
      </c>
      <c r="AB291" s="5" t="s">
        <v>83</v>
      </c>
    </row>
    <row r="292" ht="15.75" customHeight="1">
      <c r="A292" s="4" t="s">
        <v>3520</v>
      </c>
      <c r="B292" s="5" t="s">
        <v>2820</v>
      </c>
      <c r="C292" s="12" t="s">
        <v>3521</v>
      </c>
      <c r="D292" s="7" t="s">
        <v>3522</v>
      </c>
      <c r="E292" s="5"/>
      <c r="F292" s="5" t="s">
        <v>81</v>
      </c>
      <c r="G292" s="5" t="s">
        <v>2138</v>
      </c>
      <c r="H292" s="5" t="s">
        <v>34</v>
      </c>
      <c r="I292" s="8">
        <v>93.0</v>
      </c>
      <c r="J292" s="9" t="s">
        <v>35</v>
      </c>
      <c r="K292" s="5" t="s">
        <v>2138</v>
      </c>
      <c r="L292" s="5" t="s">
        <v>34</v>
      </c>
      <c r="M292" s="5"/>
      <c r="N292" s="5"/>
      <c r="O292" s="5"/>
      <c r="P292" s="5" t="s">
        <v>3523</v>
      </c>
      <c r="Q292" s="5" t="s">
        <v>3524</v>
      </c>
      <c r="R292" s="5" t="s">
        <v>3525</v>
      </c>
      <c r="S292" s="5" t="s">
        <v>3526</v>
      </c>
      <c r="T292" s="5" t="s">
        <v>3527</v>
      </c>
      <c r="U292" s="5" t="s">
        <v>3528</v>
      </c>
      <c r="V292" s="5" t="s">
        <v>3529</v>
      </c>
      <c r="W292" s="5" t="s">
        <v>3530</v>
      </c>
      <c r="X292" s="5" t="s">
        <v>3531</v>
      </c>
      <c r="Y292" s="5" t="s">
        <v>3532</v>
      </c>
      <c r="Z292" s="5">
        <v>3.0</v>
      </c>
      <c r="AA292" s="5">
        <v>2026.0</v>
      </c>
      <c r="AB292" s="5" t="s">
        <v>34</v>
      </c>
    </row>
    <row r="293" ht="15.75" customHeight="1">
      <c r="A293" s="4" t="s">
        <v>3533</v>
      </c>
      <c r="B293" s="5" t="s">
        <v>2820</v>
      </c>
      <c r="C293" s="12" t="s">
        <v>3534</v>
      </c>
      <c r="D293" s="7" t="s">
        <v>3535</v>
      </c>
      <c r="E293" s="5"/>
      <c r="F293" s="5" t="s">
        <v>81</v>
      </c>
      <c r="G293" s="5" t="s">
        <v>2138</v>
      </c>
      <c r="H293" s="5" t="s">
        <v>34</v>
      </c>
      <c r="I293" s="8">
        <v>90.0</v>
      </c>
      <c r="J293" s="9" t="s">
        <v>35</v>
      </c>
      <c r="K293" s="5" t="s">
        <v>2138</v>
      </c>
      <c r="L293" s="5" t="s">
        <v>34</v>
      </c>
      <c r="M293" s="5"/>
      <c r="N293" s="5"/>
      <c r="O293" s="5"/>
      <c r="P293" s="5" t="s">
        <v>3536</v>
      </c>
      <c r="Q293" s="5" t="s">
        <v>3537</v>
      </c>
      <c r="R293" s="5" t="s">
        <v>3538</v>
      </c>
      <c r="S293" s="5" t="s">
        <v>3539</v>
      </c>
      <c r="T293" s="5" t="s">
        <v>3540</v>
      </c>
      <c r="U293" s="5" t="s">
        <v>3541</v>
      </c>
      <c r="V293" s="5" t="s">
        <v>3542</v>
      </c>
      <c r="W293" s="5" t="s">
        <v>3543</v>
      </c>
      <c r="X293" s="5" t="s">
        <v>3544</v>
      </c>
      <c r="Y293" s="5" t="s">
        <v>3545</v>
      </c>
      <c r="Z293" s="5">
        <v>3.0</v>
      </c>
      <c r="AA293" s="5">
        <v>2026.0</v>
      </c>
      <c r="AB293" s="5" t="s">
        <v>34</v>
      </c>
    </row>
    <row r="294" ht="15.75" customHeight="1">
      <c r="A294" s="4" t="s">
        <v>3546</v>
      </c>
      <c r="B294" s="5" t="s">
        <v>2820</v>
      </c>
      <c r="C294" s="12" t="s">
        <v>3547</v>
      </c>
      <c r="D294" s="7" t="s">
        <v>3548</v>
      </c>
      <c r="E294" s="5"/>
      <c r="F294" s="5" t="s">
        <v>81</v>
      </c>
      <c r="G294" s="5" t="s">
        <v>1153</v>
      </c>
      <c r="H294" s="5" t="s">
        <v>34</v>
      </c>
      <c r="I294" s="8">
        <v>16.0</v>
      </c>
      <c r="J294" s="9" t="s">
        <v>35</v>
      </c>
      <c r="K294" s="5" t="s">
        <v>3549</v>
      </c>
      <c r="L294" s="5" t="s">
        <v>34</v>
      </c>
      <c r="M294" s="5"/>
      <c r="N294" s="5"/>
      <c r="O294" s="5"/>
      <c r="P294" s="5" t="s">
        <v>3550</v>
      </c>
      <c r="Q294" s="5" t="s">
        <v>3550</v>
      </c>
      <c r="R294" s="5" t="s">
        <v>3551</v>
      </c>
      <c r="S294" s="5" t="s">
        <v>3552</v>
      </c>
      <c r="T294" s="5" t="s">
        <v>3553</v>
      </c>
      <c r="U294" s="5" t="s">
        <v>3554</v>
      </c>
      <c r="V294" s="5"/>
      <c r="W294" s="5" t="s">
        <v>3555</v>
      </c>
      <c r="X294" s="5" t="s">
        <v>3556</v>
      </c>
      <c r="Y294" s="5" t="s">
        <v>3557</v>
      </c>
      <c r="Z294" s="5">
        <v>4.0</v>
      </c>
      <c r="AA294" s="5">
        <v>2026.0</v>
      </c>
      <c r="AB294" s="5" t="s">
        <v>34</v>
      </c>
    </row>
    <row r="295" ht="15.75" customHeight="1">
      <c r="A295" s="4" t="s">
        <v>3558</v>
      </c>
      <c r="B295" s="5" t="s">
        <v>2820</v>
      </c>
      <c r="C295" s="12" t="str">
        <f>"https://" &amp; "letterboxd" &amp; ".com/film/morfeu-e-caronte/"</f>
        <v>https://letterboxd.com/film/morfeu-e-caronte/</v>
      </c>
      <c r="D295" s="7" t="s">
        <v>3559</v>
      </c>
      <c r="E295" s="5"/>
      <c r="F295" s="5" t="s">
        <v>81</v>
      </c>
      <c r="G295" s="5" t="s">
        <v>2138</v>
      </c>
      <c r="H295" s="5" t="s">
        <v>34</v>
      </c>
      <c r="I295" s="8">
        <v>14.0</v>
      </c>
      <c r="J295" s="9" t="s">
        <v>35</v>
      </c>
      <c r="K295" s="5" t="s">
        <v>2138</v>
      </c>
      <c r="L295" s="5" t="s">
        <v>34</v>
      </c>
      <c r="M295" s="5"/>
      <c r="N295" s="5"/>
      <c r="O295" s="5"/>
      <c r="P295" s="5" t="s">
        <v>3560</v>
      </c>
      <c r="Q295" s="5" t="s">
        <v>3561</v>
      </c>
      <c r="R295" s="5" t="s">
        <v>3562</v>
      </c>
      <c r="S295" s="5" t="s">
        <v>3563</v>
      </c>
      <c r="T295" s="5" t="s">
        <v>3564</v>
      </c>
      <c r="U295" s="5" t="s">
        <v>3565</v>
      </c>
      <c r="V295" s="5" t="s">
        <v>3566</v>
      </c>
      <c r="W295" s="5" t="s">
        <v>3567</v>
      </c>
      <c r="X295" s="5" t="s">
        <v>3568</v>
      </c>
      <c r="Y295" s="5" t="s">
        <v>3569</v>
      </c>
      <c r="Z295" s="5">
        <v>2.0</v>
      </c>
      <c r="AA295" s="5">
        <v>2026.0</v>
      </c>
      <c r="AB295" s="5" t="s">
        <v>34</v>
      </c>
    </row>
    <row r="296" ht="15.75" customHeight="1">
      <c r="A296" s="4" t="s">
        <v>3570</v>
      </c>
      <c r="B296" s="5" t="s">
        <v>2820</v>
      </c>
      <c r="C296" s="12" t="s">
        <v>3571</v>
      </c>
      <c r="D296" s="7" t="s">
        <v>3572</v>
      </c>
      <c r="E296" s="5"/>
      <c r="F296" s="5" t="s">
        <v>81</v>
      </c>
      <c r="G296" s="5" t="s">
        <v>2138</v>
      </c>
      <c r="H296" s="5" t="s">
        <v>83</v>
      </c>
      <c r="I296" s="8">
        <v>80.0</v>
      </c>
      <c r="J296" s="9" t="s">
        <v>35</v>
      </c>
      <c r="K296" s="5" t="s">
        <v>2138</v>
      </c>
      <c r="L296" s="5" t="s">
        <v>83</v>
      </c>
      <c r="M296" s="5"/>
      <c r="N296" s="5"/>
      <c r="O296" s="5"/>
      <c r="P296" s="5" t="s">
        <v>3573</v>
      </c>
      <c r="Q296" s="5" t="s">
        <v>3574</v>
      </c>
      <c r="R296" s="5" t="s">
        <v>3575</v>
      </c>
      <c r="S296" s="5" t="s">
        <v>3576</v>
      </c>
      <c r="T296" s="5" t="s">
        <v>3577</v>
      </c>
      <c r="U296" s="5" t="s">
        <v>3578</v>
      </c>
      <c r="V296" s="5" t="s">
        <v>3579</v>
      </c>
      <c r="W296" s="5" t="s">
        <v>3580</v>
      </c>
      <c r="X296" s="5" t="s">
        <v>3581</v>
      </c>
      <c r="Y296" s="5" t="s">
        <v>3582</v>
      </c>
      <c r="Z296" s="5">
        <v>2.0</v>
      </c>
      <c r="AA296" s="5">
        <v>2026.0</v>
      </c>
      <c r="AB296" s="5" t="s">
        <v>83</v>
      </c>
    </row>
    <row r="297" ht="15.75" customHeight="1">
      <c r="A297" s="4" t="s">
        <v>3583</v>
      </c>
      <c r="B297" s="5" t="s">
        <v>2820</v>
      </c>
      <c r="C297" s="12" t="s">
        <v>3584</v>
      </c>
      <c r="D297" s="7" t="s">
        <v>3585</v>
      </c>
      <c r="E297" s="5"/>
      <c r="F297" s="5" t="s">
        <v>81</v>
      </c>
      <c r="G297" s="5" t="s">
        <v>2138</v>
      </c>
      <c r="H297" s="5" t="s">
        <v>83</v>
      </c>
      <c r="I297" s="8">
        <v>77.0</v>
      </c>
      <c r="J297" s="9" t="s">
        <v>35</v>
      </c>
      <c r="K297" s="5" t="s">
        <v>2138</v>
      </c>
      <c r="L297" s="5" t="s">
        <v>83</v>
      </c>
      <c r="M297" s="5"/>
      <c r="N297" s="5"/>
      <c r="O297" s="5"/>
      <c r="P297" s="5" t="s">
        <v>2308</v>
      </c>
      <c r="Q297" s="5" t="s">
        <v>3586</v>
      </c>
      <c r="R297" s="5" t="s">
        <v>3587</v>
      </c>
      <c r="S297" s="5" t="s">
        <v>3588</v>
      </c>
      <c r="T297" s="5" t="s">
        <v>3589</v>
      </c>
      <c r="U297" s="5" t="s">
        <v>3590</v>
      </c>
      <c r="V297" s="5" t="s">
        <v>3591</v>
      </c>
      <c r="W297" s="5" t="s">
        <v>3592</v>
      </c>
      <c r="X297" s="5" t="s">
        <v>3593</v>
      </c>
      <c r="Y297" s="5" t="s">
        <v>3594</v>
      </c>
      <c r="Z297" s="5">
        <v>4.0</v>
      </c>
      <c r="AA297" s="5">
        <v>2026.0</v>
      </c>
      <c r="AB297" s="5" t="s">
        <v>83</v>
      </c>
    </row>
    <row r="298" ht="15.75" customHeight="1">
      <c r="A298" s="4" t="s">
        <v>3595</v>
      </c>
      <c r="B298" s="5" t="s">
        <v>2820</v>
      </c>
      <c r="C298" s="12" t="str">
        <f>"https://" &amp; "letterboxd" &amp; ".com/film/nacao-ubuntu-a-voz-dos-silenciados/"</f>
        <v>https://letterboxd.com/film/nacao-ubuntu-a-voz-dos-silenciados/</v>
      </c>
      <c r="D298" s="7" t="s">
        <v>3596</v>
      </c>
      <c r="E298" s="5"/>
      <c r="F298" s="5" t="s">
        <v>81</v>
      </c>
      <c r="G298" s="5" t="s">
        <v>2138</v>
      </c>
      <c r="H298" s="5" t="s">
        <v>83</v>
      </c>
      <c r="I298" s="8">
        <v>87.0</v>
      </c>
      <c r="J298" s="9" t="s">
        <v>35</v>
      </c>
      <c r="K298" s="5" t="s">
        <v>2138</v>
      </c>
      <c r="L298" s="5" t="s">
        <v>83</v>
      </c>
      <c r="M298" s="5"/>
      <c r="N298" s="5"/>
      <c r="O298" s="5"/>
      <c r="P298" s="5" t="s">
        <v>2936</v>
      </c>
      <c r="Q298" s="5" t="s">
        <v>2936</v>
      </c>
      <c r="R298" s="5" t="s">
        <v>3597</v>
      </c>
      <c r="S298" s="5" t="s">
        <v>3598</v>
      </c>
      <c r="T298" s="5" t="s">
        <v>3599</v>
      </c>
      <c r="U298" s="5" t="s">
        <v>3600</v>
      </c>
      <c r="V298" s="5" t="s">
        <v>3601</v>
      </c>
      <c r="W298" s="5" t="s">
        <v>3602</v>
      </c>
      <c r="X298" s="5" t="s">
        <v>3603</v>
      </c>
      <c r="Y298" s="5" t="s">
        <v>3604</v>
      </c>
      <c r="Z298" s="5">
        <v>3.0</v>
      </c>
      <c r="AA298" s="5">
        <v>2026.0</v>
      </c>
      <c r="AB298" s="5" t="s">
        <v>83</v>
      </c>
    </row>
    <row r="299" ht="15.75" customHeight="1">
      <c r="A299" s="4" t="s">
        <v>3605</v>
      </c>
      <c r="B299" s="5" t="s">
        <v>2820</v>
      </c>
      <c r="C299" s="12" t="str">
        <f>"https://" &amp; "letterboxd" &amp; ".com/film/nao-estamos-sonhando/"</f>
        <v>https://letterboxd.com/film/nao-estamos-sonhando/</v>
      </c>
      <c r="D299" s="7" t="s">
        <v>3606</v>
      </c>
      <c r="E299" s="5"/>
      <c r="F299" s="5" t="s">
        <v>81</v>
      </c>
      <c r="G299" s="5" t="s">
        <v>2138</v>
      </c>
      <c r="H299" s="5" t="s">
        <v>34</v>
      </c>
      <c r="I299" s="8">
        <v>92.0</v>
      </c>
      <c r="J299" s="9" t="s">
        <v>35</v>
      </c>
      <c r="K299" s="5" t="s">
        <v>2138</v>
      </c>
      <c r="L299" s="5" t="s">
        <v>34</v>
      </c>
      <c r="M299" s="5"/>
      <c r="N299" s="5"/>
      <c r="O299" s="5"/>
      <c r="P299" s="5" t="s">
        <v>3607</v>
      </c>
      <c r="Q299" s="5" t="s">
        <v>3607</v>
      </c>
      <c r="R299" s="5" t="s">
        <v>3608</v>
      </c>
      <c r="S299" s="5" t="s">
        <v>3609</v>
      </c>
      <c r="T299" s="5" t="s">
        <v>3411</v>
      </c>
      <c r="U299" s="5" t="s">
        <v>3610</v>
      </c>
      <c r="V299" s="5"/>
      <c r="W299" s="5" t="s">
        <v>3611</v>
      </c>
      <c r="X299" s="5" t="s">
        <v>3612</v>
      </c>
      <c r="Y299" s="5" t="s">
        <v>3613</v>
      </c>
      <c r="Z299" s="5">
        <v>4.0</v>
      </c>
      <c r="AA299" s="5">
        <v>2026.0</v>
      </c>
      <c r="AB299" s="5" t="s">
        <v>34</v>
      </c>
    </row>
    <row r="300" ht="15.75" customHeight="1">
      <c r="A300" s="4" t="s">
        <v>3614</v>
      </c>
      <c r="B300" s="5" t="s">
        <v>2820</v>
      </c>
      <c r="C300" s="12" t="str">
        <f>"https://" &amp; "letterboxd" &amp; ".com/film/ney-por-tras-das-mascaras/"</f>
        <v>https://letterboxd.com/film/ney-por-tras-das-mascaras/</v>
      </c>
      <c r="D300" s="7" t="s">
        <v>3615</v>
      </c>
      <c r="E300" s="5" t="s">
        <v>3616</v>
      </c>
      <c r="F300" s="5" t="s">
        <v>32</v>
      </c>
      <c r="G300" s="5" t="s">
        <v>2138</v>
      </c>
      <c r="H300" s="5" t="s">
        <v>83</v>
      </c>
      <c r="I300" s="8">
        <v>91.0</v>
      </c>
      <c r="J300" s="9" t="s">
        <v>35</v>
      </c>
      <c r="K300" s="5" t="s">
        <v>2138</v>
      </c>
      <c r="L300" s="5" t="s">
        <v>83</v>
      </c>
      <c r="M300" s="5"/>
      <c r="N300" s="5"/>
      <c r="O300" s="5"/>
      <c r="P300" s="5" t="s">
        <v>3617</v>
      </c>
      <c r="Q300" s="5" t="s">
        <v>3618</v>
      </c>
      <c r="R300" s="5" t="s">
        <v>3619</v>
      </c>
      <c r="S300" s="5" t="s">
        <v>3620</v>
      </c>
      <c r="T300" s="5" t="s">
        <v>3621</v>
      </c>
      <c r="U300" s="5" t="s">
        <v>3622</v>
      </c>
      <c r="V300" s="5" t="s">
        <v>3623</v>
      </c>
      <c r="W300" s="5" t="s">
        <v>3624</v>
      </c>
      <c r="X300" s="5" t="s">
        <v>3625</v>
      </c>
      <c r="Y300" s="5" t="s">
        <v>3626</v>
      </c>
      <c r="Z300" s="5">
        <v>3.0</v>
      </c>
      <c r="AA300" s="5">
        <v>2026.0</v>
      </c>
      <c r="AB300" s="5" t="s">
        <v>83</v>
      </c>
    </row>
    <row r="301" ht="15.75" customHeight="1">
      <c r="A301" s="4" t="s">
        <v>3627</v>
      </c>
      <c r="B301" s="5" t="s">
        <v>2820</v>
      </c>
      <c r="C301" s="12" t="str">
        <f>"https://" &amp; "letterboxd" &amp; ".com/film/no-passo-da-cobra/"</f>
        <v>https://letterboxd.com/film/no-passo-da-cobra/</v>
      </c>
      <c r="D301" s="7" t="s">
        <v>3628</v>
      </c>
      <c r="E301" s="5"/>
      <c r="F301" s="5" t="s">
        <v>81</v>
      </c>
      <c r="G301" s="5" t="s">
        <v>2138</v>
      </c>
      <c r="H301" s="5" t="s">
        <v>83</v>
      </c>
      <c r="I301" s="8">
        <v>85.0</v>
      </c>
      <c r="J301" s="9" t="s">
        <v>35</v>
      </c>
      <c r="K301" s="5" t="s">
        <v>2138</v>
      </c>
      <c r="L301" s="5" t="s">
        <v>83</v>
      </c>
      <c r="M301" s="5"/>
      <c r="N301" s="5"/>
      <c r="O301" s="5"/>
      <c r="P301" s="5" t="s">
        <v>3629</v>
      </c>
      <c r="Q301" s="5" t="s">
        <v>3629</v>
      </c>
      <c r="R301" s="5" t="s">
        <v>3630</v>
      </c>
      <c r="S301" s="5" t="s">
        <v>3629</v>
      </c>
      <c r="T301" s="5" t="s">
        <v>3631</v>
      </c>
      <c r="U301" s="5" t="s">
        <v>3632</v>
      </c>
      <c r="V301" s="5" t="s">
        <v>3633</v>
      </c>
      <c r="W301" s="5" t="s">
        <v>3634</v>
      </c>
      <c r="X301" s="5" t="s">
        <v>3635</v>
      </c>
      <c r="Y301" s="5" t="s">
        <v>3636</v>
      </c>
      <c r="Z301" s="5">
        <v>3.0</v>
      </c>
      <c r="AA301" s="5">
        <v>2026.0</v>
      </c>
      <c r="AB301" s="5" t="s">
        <v>83</v>
      </c>
    </row>
    <row r="302" ht="15.75" customHeight="1">
      <c r="A302" s="4" t="s">
        <v>3637</v>
      </c>
      <c r="B302" s="5" t="s">
        <v>2820</v>
      </c>
      <c r="C302" s="12" t="str">
        <f>"https://" &amp; "letterboxd" &amp; ".com/film/o-capitao-engarrafado/"</f>
        <v>https://letterboxd.com/film/o-capitao-engarrafado/</v>
      </c>
      <c r="D302" s="7" t="s">
        <v>3638</v>
      </c>
      <c r="E302" s="5" t="s">
        <v>3639</v>
      </c>
      <c r="F302" s="5" t="s">
        <v>32</v>
      </c>
      <c r="G302" s="5" t="s">
        <v>2138</v>
      </c>
      <c r="H302" s="5" t="s">
        <v>34</v>
      </c>
      <c r="I302" s="8">
        <v>79.0</v>
      </c>
      <c r="J302" s="9" t="s">
        <v>35</v>
      </c>
      <c r="K302" s="5" t="s">
        <v>2138</v>
      </c>
      <c r="L302" s="5" t="s">
        <v>34</v>
      </c>
      <c r="M302" s="5"/>
      <c r="N302" s="5"/>
      <c r="O302" s="5"/>
      <c r="P302" s="5" t="s">
        <v>3640</v>
      </c>
      <c r="Q302" s="5" t="s">
        <v>3641</v>
      </c>
      <c r="R302" s="5" t="s">
        <v>3642</v>
      </c>
      <c r="S302" s="5" t="s">
        <v>3643</v>
      </c>
      <c r="T302" s="5" t="s">
        <v>3644</v>
      </c>
      <c r="U302" s="5" t="s">
        <v>3640</v>
      </c>
      <c r="V302" s="5" t="s">
        <v>3645</v>
      </c>
      <c r="W302" s="5" t="s">
        <v>3646</v>
      </c>
      <c r="X302" s="5" t="s">
        <v>3647</v>
      </c>
      <c r="Y302" s="5" t="s">
        <v>3648</v>
      </c>
      <c r="Z302" s="5">
        <v>2.0</v>
      </c>
      <c r="AA302" s="5">
        <v>2026.0</v>
      </c>
      <c r="AB302" s="5" t="s">
        <v>34</v>
      </c>
    </row>
    <row r="303" ht="15.75" customHeight="1">
      <c r="A303" s="4" t="s">
        <v>3649</v>
      </c>
      <c r="B303" s="5" t="s">
        <v>2820</v>
      </c>
      <c r="C303" s="12" t="str">
        <f>"https://" &amp; "letterboxd" &amp; ".com/film/o-cinema-possivel/"</f>
        <v>https://letterboxd.com/film/o-cinema-possivel/</v>
      </c>
      <c r="D303" s="7" t="s">
        <v>3650</v>
      </c>
      <c r="E303" s="5" t="s">
        <v>3651</v>
      </c>
      <c r="F303" s="5" t="s">
        <v>32</v>
      </c>
      <c r="G303" s="5" t="s">
        <v>2138</v>
      </c>
      <c r="H303" s="5" t="s">
        <v>83</v>
      </c>
      <c r="I303" s="8">
        <v>75.0</v>
      </c>
      <c r="J303" s="9" t="s">
        <v>35</v>
      </c>
      <c r="K303" s="5" t="s">
        <v>2138</v>
      </c>
      <c r="L303" s="5" t="s">
        <v>83</v>
      </c>
      <c r="M303" s="5"/>
      <c r="N303" s="5"/>
      <c r="O303" s="5"/>
      <c r="P303" s="5" t="s">
        <v>3652</v>
      </c>
      <c r="Q303" s="5" t="s">
        <v>3653</v>
      </c>
      <c r="R303" s="5" t="s">
        <v>3654</v>
      </c>
      <c r="S303" s="5" t="s">
        <v>3652</v>
      </c>
      <c r="T303" s="5" t="s">
        <v>3655</v>
      </c>
      <c r="U303" s="5" t="s">
        <v>3656</v>
      </c>
      <c r="V303" s="5" t="s">
        <v>3657</v>
      </c>
      <c r="W303" s="5" t="s">
        <v>3658</v>
      </c>
      <c r="X303" s="5" t="s">
        <v>3659</v>
      </c>
      <c r="Y303" s="5" t="s">
        <v>3660</v>
      </c>
      <c r="Z303" s="5">
        <v>2.0</v>
      </c>
      <c r="AA303" s="5">
        <v>2026.0</v>
      </c>
      <c r="AB303" s="5" t="s">
        <v>83</v>
      </c>
    </row>
    <row r="304" ht="15.75" customHeight="1">
      <c r="A304" s="4" t="s">
        <v>3661</v>
      </c>
      <c r="B304" s="5" t="s">
        <v>2820</v>
      </c>
      <c r="C304" s="12" t="str">
        <f>"https://" &amp; "letterboxd" &amp; ".com/film/o-deserto-de-luiza/"</f>
        <v>https://letterboxd.com/film/o-deserto-de-luiza/</v>
      </c>
      <c r="D304" s="7" t="s">
        <v>3662</v>
      </c>
      <c r="E304" s="5" t="s">
        <v>3663</v>
      </c>
      <c r="F304" s="5" t="s">
        <v>32</v>
      </c>
      <c r="G304" s="5" t="s">
        <v>1153</v>
      </c>
      <c r="H304" s="5" t="s">
        <v>34</v>
      </c>
      <c r="I304" s="8">
        <v>101.0</v>
      </c>
      <c r="J304" s="9" t="s">
        <v>35</v>
      </c>
      <c r="K304" s="5" t="s">
        <v>3664</v>
      </c>
      <c r="L304" s="5" t="s">
        <v>34</v>
      </c>
      <c r="M304" s="5"/>
      <c r="N304" s="5"/>
      <c r="O304" s="5"/>
      <c r="P304" s="5" t="s">
        <v>3665</v>
      </c>
      <c r="Q304" s="5" t="s">
        <v>3665</v>
      </c>
      <c r="R304" s="5" t="s">
        <v>3666</v>
      </c>
      <c r="S304" s="5" t="s">
        <v>3667</v>
      </c>
      <c r="T304" s="5" t="s">
        <v>3668</v>
      </c>
      <c r="U304" s="5" t="s">
        <v>3669</v>
      </c>
      <c r="V304" s="5" t="s">
        <v>3670</v>
      </c>
      <c r="W304" s="5" t="s">
        <v>3671</v>
      </c>
      <c r="X304" s="5" t="s">
        <v>3672</v>
      </c>
      <c r="Y304" s="5" t="s">
        <v>3673</v>
      </c>
      <c r="Z304" s="5">
        <v>4.0</v>
      </c>
      <c r="AA304" s="5">
        <v>2026.0</v>
      </c>
      <c r="AB304" s="5" t="s">
        <v>34</v>
      </c>
    </row>
    <row r="305" ht="15.75" customHeight="1">
      <c r="A305" s="4" t="s">
        <v>3674</v>
      </c>
      <c r="B305" s="5" t="s">
        <v>2820</v>
      </c>
      <c r="C305" s="12" t="str">
        <f>"https://" &amp; "letterboxd" &amp; ".com/film/o-filho-da-puta/"</f>
        <v>https://letterboxd.com/film/o-filho-da-puta/</v>
      </c>
      <c r="D305" s="7" t="s">
        <v>3675</v>
      </c>
      <c r="E305" s="5" t="s">
        <v>3676</v>
      </c>
      <c r="F305" s="5" t="s">
        <v>32</v>
      </c>
      <c r="G305" s="5" t="s">
        <v>2138</v>
      </c>
      <c r="H305" s="5" t="s">
        <v>795</v>
      </c>
      <c r="I305" s="8">
        <v>72.0</v>
      </c>
      <c r="J305" s="9" t="s">
        <v>35</v>
      </c>
      <c r="K305" s="5" t="s">
        <v>2138</v>
      </c>
      <c r="L305" s="5" t="s">
        <v>795</v>
      </c>
      <c r="M305" s="5"/>
      <c r="N305" s="5"/>
      <c r="O305" s="5"/>
      <c r="P305" s="5" t="s">
        <v>3677</v>
      </c>
      <c r="Q305" s="5" t="s">
        <v>3678</v>
      </c>
      <c r="R305" s="5" t="s">
        <v>3679</v>
      </c>
      <c r="S305" s="5" t="s">
        <v>3680</v>
      </c>
      <c r="T305" s="5" t="s">
        <v>3681</v>
      </c>
      <c r="U305" s="5" t="s">
        <v>3681</v>
      </c>
      <c r="V305" s="5" t="s">
        <v>3682</v>
      </c>
      <c r="W305" s="5" t="s">
        <v>3683</v>
      </c>
      <c r="X305" s="5" t="s">
        <v>3684</v>
      </c>
      <c r="Y305" s="5" t="s">
        <v>3685</v>
      </c>
      <c r="Z305" s="5">
        <v>4.0</v>
      </c>
      <c r="AA305" s="5">
        <v>2026.0</v>
      </c>
      <c r="AB305" s="5" t="s">
        <v>795</v>
      </c>
    </row>
    <row r="306" ht="15.75" customHeight="1">
      <c r="A306" s="4" t="s">
        <v>3686</v>
      </c>
      <c r="B306" s="5" t="s">
        <v>2820</v>
      </c>
      <c r="C306" s="12" t="str">
        <f>"https://" &amp; "letterboxd" &amp; ".com/film/o-gesto-entre-nos/"</f>
        <v>https://letterboxd.com/film/o-gesto-entre-nos/</v>
      </c>
      <c r="D306" s="7" t="s">
        <v>3687</v>
      </c>
      <c r="E306" s="5" t="s">
        <v>3688</v>
      </c>
      <c r="F306" s="5" t="s">
        <v>32</v>
      </c>
      <c r="G306" s="5" t="s">
        <v>2138</v>
      </c>
      <c r="H306" s="5" t="s">
        <v>83</v>
      </c>
      <c r="I306" s="8">
        <v>103.0</v>
      </c>
      <c r="J306" s="9" t="s">
        <v>35</v>
      </c>
      <c r="K306" s="5" t="s">
        <v>2138</v>
      </c>
      <c r="L306" s="5" t="s">
        <v>83</v>
      </c>
      <c r="M306" s="5"/>
      <c r="N306" s="5"/>
      <c r="O306" s="5"/>
      <c r="P306" s="5" t="s">
        <v>3689</v>
      </c>
      <c r="Q306" s="5" t="s">
        <v>3690</v>
      </c>
      <c r="R306" s="5" t="s">
        <v>3691</v>
      </c>
      <c r="S306" s="5" t="s">
        <v>3692</v>
      </c>
      <c r="T306" s="5" t="s">
        <v>3693</v>
      </c>
      <c r="U306" s="5" t="s">
        <v>3694</v>
      </c>
      <c r="V306" s="5" t="s">
        <v>3695</v>
      </c>
      <c r="W306" s="5" t="s">
        <v>3696</v>
      </c>
      <c r="X306" s="5" t="s">
        <v>3697</v>
      </c>
      <c r="Y306" s="5" t="s">
        <v>3698</v>
      </c>
      <c r="Z306" s="5">
        <v>4.0</v>
      </c>
      <c r="AA306" s="5">
        <v>2026.0</v>
      </c>
      <c r="AB306" s="5" t="s">
        <v>83</v>
      </c>
    </row>
    <row r="307" ht="15.75" customHeight="1">
      <c r="A307" s="4" t="s">
        <v>3699</v>
      </c>
      <c r="B307" s="5" t="s">
        <v>2820</v>
      </c>
      <c r="C307" s="12" t="s">
        <v>3700</v>
      </c>
      <c r="D307" s="7" t="s">
        <v>3701</v>
      </c>
      <c r="E307" s="5" t="s">
        <v>3702</v>
      </c>
      <c r="F307" s="5" t="s">
        <v>32</v>
      </c>
      <c r="G307" s="5" t="s">
        <v>2138</v>
      </c>
      <c r="H307" s="5" t="s">
        <v>83</v>
      </c>
      <c r="I307" s="8">
        <v>100.0</v>
      </c>
      <c r="J307" s="9" t="s">
        <v>35</v>
      </c>
      <c r="K307" s="5" t="s">
        <v>2138</v>
      </c>
      <c r="L307" s="5" t="s">
        <v>83</v>
      </c>
      <c r="M307" s="5"/>
      <c r="N307" s="5"/>
      <c r="O307" s="5"/>
      <c r="P307" s="5" t="s">
        <v>3703</v>
      </c>
      <c r="Q307" s="5" t="s">
        <v>3703</v>
      </c>
      <c r="R307" s="5" t="s">
        <v>3704</v>
      </c>
      <c r="S307" s="5" t="s">
        <v>3705</v>
      </c>
      <c r="T307" s="5" t="s">
        <v>3631</v>
      </c>
      <c r="U307" s="5" t="s">
        <v>3706</v>
      </c>
      <c r="V307" s="5" t="s">
        <v>3707</v>
      </c>
      <c r="W307" s="5"/>
      <c r="X307" s="5" t="s">
        <v>3708</v>
      </c>
      <c r="Y307" s="5" t="s">
        <v>3709</v>
      </c>
      <c r="Z307" s="5">
        <v>5.0</v>
      </c>
      <c r="AA307" s="5">
        <v>2026.0</v>
      </c>
      <c r="AB307" s="5" t="s">
        <v>83</v>
      </c>
    </row>
    <row r="308" ht="15.75" customHeight="1">
      <c r="A308" s="4" t="s">
        <v>3710</v>
      </c>
      <c r="B308" s="5" t="s">
        <v>2820</v>
      </c>
      <c r="C308" s="12" t="s">
        <v>3711</v>
      </c>
      <c r="D308" s="7" t="s">
        <v>3712</v>
      </c>
      <c r="E308" s="5" t="s">
        <v>3713</v>
      </c>
      <c r="F308" s="5" t="s">
        <v>32</v>
      </c>
      <c r="G308" s="5" t="s">
        <v>2138</v>
      </c>
      <c r="H308" s="5" t="s">
        <v>83</v>
      </c>
      <c r="I308" s="8">
        <v>97.0</v>
      </c>
      <c r="J308" s="9" t="s">
        <v>3714</v>
      </c>
      <c r="K308" s="5" t="s">
        <v>2138</v>
      </c>
      <c r="L308" s="5" t="s">
        <v>83</v>
      </c>
      <c r="M308" s="5"/>
      <c r="N308" s="5"/>
      <c r="O308" s="5"/>
      <c r="P308" s="5" t="s">
        <v>3715</v>
      </c>
      <c r="Q308" s="5" t="s">
        <v>3715</v>
      </c>
      <c r="R308" s="5" t="s">
        <v>3716</v>
      </c>
      <c r="S308" s="5" t="s">
        <v>3716</v>
      </c>
      <c r="T308" s="5" t="s">
        <v>3717</v>
      </c>
      <c r="U308" s="5" t="s">
        <v>2956</v>
      </c>
      <c r="V308" s="5"/>
      <c r="W308" s="5"/>
      <c r="X308" s="5" t="s">
        <v>3718</v>
      </c>
      <c r="Y308" s="5" t="s">
        <v>3719</v>
      </c>
      <c r="Z308" s="5">
        <v>1.0</v>
      </c>
      <c r="AA308" s="5">
        <v>2008.0</v>
      </c>
      <c r="AB308" s="5" t="s">
        <v>83</v>
      </c>
    </row>
    <row r="309" ht="15.75" customHeight="1">
      <c r="A309" s="4" t="s">
        <v>3720</v>
      </c>
      <c r="B309" s="5" t="s">
        <v>2820</v>
      </c>
      <c r="C309" s="12" t="str">
        <f>"https://" &amp; "letterboxd" &amp; ".com/film/oceanico/"</f>
        <v>https://letterboxd.com/film/oceanico/</v>
      </c>
      <c r="D309" s="7" t="s">
        <v>3721</v>
      </c>
      <c r="E309" s="5"/>
      <c r="F309" s="5" t="s">
        <v>81</v>
      </c>
      <c r="G309" s="5" t="s">
        <v>2138</v>
      </c>
      <c r="H309" s="5" t="s">
        <v>34</v>
      </c>
      <c r="I309" s="8">
        <v>95.0</v>
      </c>
      <c r="J309" s="9" t="s">
        <v>35</v>
      </c>
      <c r="K309" s="5" t="s">
        <v>2138</v>
      </c>
      <c r="L309" s="5" t="s">
        <v>34</v>
      </c>
      <c r="M309" s="5"/>
      <c r="N309" s="5"/>
      <c r="O309" s="5"/>
      <c r="P309" s="5" t="s">
        <v>3722</v>
      </c>
      <c r="Q309" s="5" t="s">
        <v>3723</v>
      </c>
      <c r="R309" s="5" t="s">
        <v>3724</v>
      </c>
      <c r="S309" s="5" t="s">
        <v>3725</v>
      </c>
      <c r="T309" s="5" t="s">
        <v>3726</v>
      </c>
      <c r="U309" s="5" t="s">
        <v>3727</v>
      </c>
      <c r="V309" s="5" t="s">
        <v>3728</v>
      </c>
      <c r="W309" s="5" t="s">
        <v>3729</v>
      </c>
      <c r="X309" s="5" t="s">
        <v>3730</v>
      </c>
      <c r="Y309" s="5" t="s">
        <v>3731</v>
      </c>
      <c r="Z309" s="5">
        <v>4.0</v>
      </c>
      <c r="AA309" s="5">
        <v>2026.0</v>
      </c>
      <c r="AB309" s="5" t="s">
        <v>34</v>
      </c>
    </row>
    <row r="310" ht="15.75" customHeight="1">
      <c r="A310" s="4" t="s">
        <v>3732</v>
      </c>
      <c r="B310" s="5" t="s">
        <v>2820</v>
      </c>
      <c r="C310" s="12" t="str">
        <f>"https://" &amp; "letterboxd" &amp; ".com/film/ondas-de-silencio/"</f>
        <v>https://letterboxd.com/film/ondas-de-silencio/</v>
      </c>
      <c r="D310" s="7" t="s">
        <v>3733</v>
      </c>
      <c r="E310" s="5"/>
      <c r="F310" s="5" t="s">
        <v>81</v>
      </c>
      <c r="G310" s="5" t="s">
        <v>1153</v>
      </c>
      <c r="H310" s="5" t="s">
        <v>34</v>
      </c>
      <c r="I310" s="8">
        <v>20.0</v>
      </c>
      <c r="J310" s="9" t="s">
        <v>35</v>
      </c>
      <c r="K310" s="5" t="s">
        <v>3664</v>
      </c>
      <c r="L310" s="5" t="s">
        <v>34</v>
      </c>
      <c r="M310" s="5"/>
      <c r="N310" s="5"/>
      <c r="O310" s="5"/>
      <c r="P310" s="5" t="s">
        <v>3734</v>
      </c>
      <c r="Q310" s="5" t="s">
        <v>3735</v>
      </c>
      <c r="R310" s="5" t="s">
        <v>3736</v>
      </c>
      <c r="S310" s="5" t="s">
        <v>3737</v>
      </c>
      <c r="T310" s="5" t="s">
        <v>3738</v>
      </c>
      <c r="U310" s="5" t="s">
        <v>3739</v>
      </c>
      <c r="V310" s="5"/>
      <c r="W310" s="5" t="s">
        <v>3740</v>
      </c>
      <c r="X310" s="5" t="s">
        <v>3741</v>
      </c>
      <c r="Y310" s="5" t="s">
        <v>3742</v>
      </c>
      <c r="Z310" s="5">
        <v>4.0</v>
      </c>
      <c r="AA310" s="5">
        <v>2026.0</v>
      </c>
      <c r="AB310" s="5" t="s">
        <v>34</v>
      </c>
    </row>
    <row r="311" ht="15.75" customHeight="1">
      <c r="A311" s="4" t="s">
        <v>3743</v>
      </c>
      <c r="B311" s="5" t="s">
        <v>2820</v>
      </c>
      <c r="C311" s="12" t="str">
        <f>"https://" &amp; "letterboxd" &amp; ".com/film/os-beatos/"</f>
        <v>https://letterboxd.com/film/os-beatos/</v>
      </c>
      <c r="D311" s="7" t="s">
        <v>3744</v>
      </c>
      <c r="E311" s="5" t="s">
        <v>3745</v>
      </c>
      <c r="F311" s="5" t="s">
        <v>32</v>
      </c>
      <c r="G311" s="5" t="s">
        <v>1153</v>
      </c>
      <c r="H311" s="5" t="s">
        <v>83</v>
      </c>
      <c r="I311" s="8">
        <v>26.0</v>
      </c>
      <c r="J311" s="9" t="s">
        <v>35</v>
      </c>
      <c r="K311" s="5" t="s">
        <v>3549</v>
      </c>
      <c r="L311" s="5" t="s">
        <v>83</v>
      </c>
      <c r="M311" s="5"/>
      <c r="N311" s="5"/>
      <c r="O311" s="5"/>
      <c r="P311" s="5" t="s">
        <v>3746</v>
      </c>
      <c r="Q311" s="5" t="s">
        <v>3746</v>
      </c>
      <c r="R311" s="5" t="s">
        <v>3747</v>
      </c>
      <c r="S311" s="5" t="s">
        <v>3748</v>
      </c>
      <c r="T311" s="5" t="s">
        <v>3749</v>
      </c>
      <c r="U311" s="5" t="s">
        <v>3750</v>
      </c>
      <c r="V311" s="5"/>
      <c r="W311" s="5" t="s">
        <v>3751</v>
      </c>
      <c r="X311" s="5" t="s">
        <v>3752</v>
      </c>
      <c r="Y311" s="5" t="s">
        <v>3753</v>
      </c>
      <c r="Z311" s="5">
        <v>4.0</v>
      </c>
      <c r="AA311" s="5">
        <v>2026.0</v>
      </c>
      <c r="AB311" s="5" t="s">
        <v>83</v>
      </c>
    </row>
    <row r="312" ht="15.75" customHeight="1">
      <c r="A312" s="4" t="s">
        <v>3754</v>
      </c>
      <c r="B312" s="5" t="s">
        <v>2820</v>
      </c>
      <c r="C312" s="12" t="s">
        <v>3755</v>
      </c>
      <c r="D312" s="7" t="s">
        <v>3756</v>
      </c>
      <c r="E312" s="5"/>
      <c r="F312" s="5" t="s">
        <v>81</v>
      </c>
      <c r="G312" s="5" t="s">
        <v>2138</v>
      </c>
      <c r="H312" s="5" t="s">
        <v>34</v>
      </c>
      <c r="I312" s="8">
        <v>82.0</v>
      </c>
      <c r="J312" s="9" t="s">
        <v>35</v>
      </c>
      <c r="K312" s="5" t="s">
        <v>2138</v>
      </c>
      <c r="L312" s="5" t="s">
        <v>34</v>
      </c>
      <c r="M312" s="5"/>
      <c r="N312" s="5"/>
      <c r="O312" s="5"/>
      <c r="P312" s="5" t="s">
        <v>3757</v>
      </c>
      <c r="Q312" s="5" t="s">
        <v>3758</v>
      </c>
      <c r="R312" s="5" t="s">
        <v>3597</v>
      </c>
      <c r="S312" s="5" t="s">
        <v>3598</v>
      </c>
      <c r="T312" s="5" t="s">
        <v>3759</v>
      </c>
      <c r="U312" s="5" t="s">
        <v>3760</v>
      </c>
      <c r="V312" s="5" t="s">
        <v>3633</v>
      </c>
      <c r="W312" s="5" t="s">
        <v>3761</v>
      </c>
      <c r="X312" s="5" t="s">
        <v>3762</v>
      </c>
      <c r="Y312" s="5" t="s">
        <v>3763</v>
      </c>
      <c r="Z312" s="5">
        <v>2.0</v>
      </c>
      <c r="AA312" s="5">
        <v>2026.0</v>
      </c>
      <c r="AB312" s="5" t="s">
        <v>34</v>
      </c>
    </row>
    <row r="313" ht="15.75" customHeight="1">
      <c r="A313" s="4" t="s">
        <v>3764</v>
      </c>
      <c r="B313" s="5" t="s">
        <v>2820</v>
      </c>
      <c r="C313" s="12" t="str">
        <f>"https://" &amp; "letterboxd" &amp; ".com/film/pai-de-primeira-viagem/"</f>
        <v>https://letterboxd.com/film/pai-de-primeira-viagem/</v>
      </c>
      <c r="D313" s="7" t="s">
        <v>3765</v>
      </c>
      <c r="E313" s="5"/>
      <c r="F313" s="5" t="s">
        <v>81</v>
      </c>
      <c r="G313" s="5" t="s">
        <v>2138</v>
      </c>
      <c r="H313" s="5" t="s">
        <v>34</v>
      </c>
      <c r="I313" s="8">
        <v>110.0</v>
      </c>
      <c r="J313" s="9" t="s">
        <v>35</v>
      </c>
      <c r="K313" s="5" t="s">
        <v>2138</v>
      </c>
      <c r="L313" s="5" t="s">
        <v>34</v>
      </c>
      <c r="M313" s="5"/>
      <c r="N313" s="5"/>
      <c r="O313" s="5"/>
      <c r="P313" s="5" t="s">
        <v>3766</v>
      </c>
      <c r="Q313" s="5" t="s">
        <v>3767</v>
      </c>
      <c r="R313" s="5" t="s">
        <v>3768</v>
      </c>
      <c r="S313" s="5" t="s">
        <v>3769</v>
      </c>
      <c r="T313" s="5" t="s">
        <v>3770</v>
      </c>
      <c r="U313" s="5" t="s">
        <v>3771</v>
      </c>
      <c r="V313" s="5" t="s">
        <v>3772</v>
      </c>
      <c r="W313" s="5" t="s">
        <v>3773</v>
      </c>
      <c r="X313" s="5" t="s">
        <v>3774</v>
      </c>
      <c r="Y313" s="5" t="s">
        <v>3775</v>
      </c>
      <c r="Z313" s="5">
        <v>2.0</v>
      </c>
      <c r="AA313" s="5">
        <v>2026.0</v>
      </c>
      <c r="AB313" s="5" t="s">
        <v>34</v>
      </c>
    </row>
    <row r="314" ht="15.75" customHeight="1">
      <c r="A314" s="4" t="s">
        <v>3776</v>
      </c>
      <c r="B314" s="5" t="s">
        <v>2820</v>
      </c>
      <c r="C314" s="12" t="str">
        <f>"https://" &amp; "letterboxd" &amp; ".com/film/panorama-de-curtas-cariocas/"</f>
        <v>https://letterboxd.com/film/panorama-de-curtas-cariocas/</v>
      </c>
      <c r="D314" s="7" t="s">
        <v>3777</v>
      </c>
      <c r="E314" s="5"/>
      <c r="F314" s="5" t="s">
        <v>81</v>
      </c>
      <c r="G314" s="5" t="s">
        <v>2138</v>
      </c>
      <c r="H314" s="5" t="s">
        <v>34</v>
      </c>
      <c r="I314" s="8">
        <v>66.0</v>
      </c>
      <c r="J314" s="9" t="s">
        <v>2139</v>
      </c>
      <c r="K314" s="5" t="s">
        <v>2140</v>
      </c>
      <c r="L314" s="5" t="s">
        <v>3778</v>
      </c>
      <c r="M314" s="10"/>
      <c r="N314" s="10"/>
      <c r="O314" s="10"/>
      <c r="P314" s="10" t="s">
        <v>3779</v>
      </c>
      <c r="Q314" s="5"/>
      <c r="R314" s="5"/>
      <c r="S314" s="5"/>
      <c r="T314" s="5"/>
      <c r="U314" s="5"/>
      <c r="V314" s="5"/>
      <c r="W314" s="5"/>
      <c r="X314" s="5" t="s">
        <v>3780</v>
      </c>
      <c r="Y314" s="10" t="s">
        <v>3781</v>
      </c>
      <c r="Z314" s="5">
        <v>1.0</v>
      </c>
      <c r="AA314" s="5" t="s">
        <v>2139</v>
      </c>
      <c r="AB314" s="5" t="s">
        <v>3778</v>
      </c>
    </row>
    <row r="315" ht="15.75" customHeight="1">
      <c r="A315" s="4" t="s">
        <v>3782</v>
      </c>
      <c r="B315" s="5" t="s">
        <v>2820</v>
      </c>
      <c r="C315" s="12" t="str">
        <f>"https://" &amp; "letterboxd" &amp; ".com/film/paraiso-semiarido/"</f>
        <v>https://letterboxd.com/film/paraiso-semiarido/</v>
      </c>
      <c r="D315" s="7" t="s">
        <v>3783</v>
      </c>
      <c r="E315" s="5"/>
      <c r="F315" s="5" t="s">
        <v>81</v>
      </c>
      <c r="G315" s="5" t="s">
        <v>2138</v>
      </c>
      <c r="H315" s="5" t="s">
        <v>83</v>
      </c>
      <c r="I315" s="8">
        <v>84.0</v>
      </c>
      <c r="J315" s="9" t="s">
        <v>35</v>
      </c>
      <c r="K315" s="5" t="s">
        <v>2138</v>
      </c>
      <c r="L315" s="5" t="s">
        <v>83</v>
      </c>
      <c r="M315" s="5"/>
      <c r="N315" s="5"/>
      <c r="O315" s="5"/>
      <c r="P315" s="5" t="s">
        <v>3715</v>
      </c>
      <c r="Q315" s="5" t="s">
        <v>3715</v>
      </c>
      <c r="R315" s="5" t="s">
        <v>3784</v>
      </c>
      <c r="S315" s="5" t="s">
        <v>3784</v>
      </c>
      <c r="T315" s="5" t="s">
        <v>3178</v>
      </c>
      <c r="U315" s="5" t="s">
        <v>3785</v>
      </c>
      <c r="V315" s="5"/>
      <c r="W315" s="5" t="s">
        <v>3786</v>
      </c>
      <c r="X315" s="5" t="s">
        <v>3787</v>
      </c>
      <c r="Y315" s="5" t="s">
        <v>3788</v>
      </c>
      <c r="Z315" s="5">
        <v>1.0</v>
      </c>
      <c r="AA315" s="5">
        <v>2026.0</v>
      </c>
      <c r="AB315" s="5" t="s">
        <v>83</v>
      </c>
    </row>
    <row r="316" ht="15.75" customHeight="1">
      <c r="A316" s="4" t="s">
        <v>3789</v>
      </c>
      <c r="B316" s="5" t="s">
        <v>2820</v>
      </c>
      <c r="C316" s="12" t="str">
        <f>"https://" &amp; "letterboxd" &amp; ".com/film/pardo-e-papel/"</f>
        <v>https://letterboxd.com/film/pardo-e-papel/</v>
      </c>
      <c r="D316" s="7" t="s">
        <v>3790</v>
      </c>
      <c r="E316" s="5"/>
      <c r="F316" s="5" t="s">
        <v>81</v>
      </c>
      <c r="G316" s="5" t="s">
        <v>1958</v>
      </c>
      <c r="H316" s="5" t="s">
        <v>83</v>
      </c>
      <c r="I316" s="8">
        <v>92.0</v>
      </c>
      <c r="J316" s="9" t="s">
        <v>35</v>
      </c>
      <c r="K316" s="5" t="s">
        <v>2908</v>
      </c>
      <c r="L316" s="5" t="s">
        <v>83</v>
      </c>
      <c r="M316" s="5"/>
      <c r="N316" s="5"/>
      <c r="O316" s="5"/>
      <c r="P316" s="5" t="s">
        <v>3791</v>
      </c>
      <c r="Q316" s="5"/>
      <c r="R316" s="5" t="s">
        <v>3792</v>
      </c>
      <c r="S316" s="5" t="s">
        <v>3793</v>
      </c>
      <c r="T316" s="5" t="s">
        <v>3791</v>
      </c>
      <c r="U316" s="5" t="s">
        <v>3794</v>
      </c>
      <c r="V316" s="5" t="s">
        <v>3795</v>
      </c>
      <c r="W316" s="5" t="s">
        <v>3796</v>
      </c>
      <c r="X316" s="5" t="s">
        <v>3797</v>
      </c>
      <c r="Y316" s="5" t="s">
        <v>3798</v>
      </c>
      <c r="Z316" s="5">
        <v>2.0</v>
      </c>
      <c r="AA316" s="5">
        <v>2026.0</v>
      </c>
      <c r="AB316" s="5" t="s">
        <v>83</v>
      </c>
    </row>
    <row r="317" ht="15.75" customHeight="1">
      <c r="A317" s="4" t="s">
        <v>3799</v>
      </c>
      <c r="B317" s="5" t="s">
        <v>2820</v>
      </c>
      <c r="C317" s="12" t="s">
        <v>3800</v>
      </c>
      <c r="D317" s="7" t="s">
        <v>3801</v>
      </c>
      <c r="E317" s="5"/>
      <c r="F317" s="5" t="s">
        <v>81</v>
      </c>
      <c r="G317" s="5" t="s">
        <v>2138</v>
      </c>
      <c r="H317" s="5" t="s">
        <v>34</v>
      </c>
      <c r="I317" s="8">
        <v>12.0</v>
      </c>
      <c r="J317" s="9" t="s">
        <v>35</v>
      </c>
      <c r="K317" s="5" t="s">
        <v>2138</v>
      </c>
      <c r="L317" s="5" t="s">
        <v>34</v>
      </c>
      <c r="M317" s="5"/>
      <c r="N317" s="5"/>
      <c r="O317" s="5"/>
      <c r="P317" s="5" t="s">
        <v>3802</v>
      </c>
      <c r="Q317" s="5" t="s">
        <v>3802</v>
      </c>
      <c r="R317" s="5" t="s">
        <v>3803</v>
      </c>
      <c r="S317" s="5" t="s">
        <v>3804</v>
      </c>
      <c r="T317" s="5" t="s">
        <v>3805</v>
      </c>
      <c r="U317" s="5" t="s">
        <v>3806</v>
      </c>
      <c r="V317" s="5" t="s">
        <v>3807</v>
      </c>
      <c r="W317" s="5" t="s">
        <v>3808</v>
      </c>
      <c r="X317" s="5" t="s">
        <v>3809</v>
      </c>
      <c r="Y317" s="5" t="s">
        <v>3810</v>
      </c>
      <c r="Z317" s="5">
        <v>4.0</v>
      </c>
      <c r="AA317" s="5">
        <v>2026.0</v>
      </c>
      <c r="AB317" s="5" t="s">
        <v>34</v>
      </c>
    </row>
    <row r="318" ht="15.75" customHeight="1">
      <c r="A318" s="4" t="s">
        <v>3811</v>
      </c>
      <c r="B318" s="5" t="s">
        <v>2820</v>
      </c>
      <c r="C318" s="12" t="s">
        <v>3812</v>
      </c>
      <c r="D318" s="7" t="s">
        <v>3813</v>
      </c>
      <c r="E318" s="5"/>
      <c r="F318" s="5" t="s">
        <v>81</v>
      </c>
      <c r="G318" s="5" t="s">
        <v>2138</v>
      </c>
      <c r="H318" s="5" t="s">
        <v>34</v>
      </c>
      <c r="I318" s="8">
        <v>12.0</v>
      </c>
      <c r="J318" s="9" t="s">
        <v>35</v>
      </c>
      <c r="K318" s="5" t="s">
        <v>2138</v>
      </c>
      <c r="L318" s="5" t="s">
        <v>34</v>
      </c>
      <c r="M318" s="5"/>
      <c r="N318" s="5"/>
      <c r="O318" s="5"/>
      <c r="P318" s="5" t="s">
        <v>3814</v>
      </c>
      <c r="Q318" s="5" t="s">
        <v>3814</v>
      </c>
      <c r="R318" s="5" t="s">
        <v>3815</v>
      </c>
      <c r="S318" s="5"/>
      <c r="T318" s="5" t="s">
        <v>3816</v>
      </c>
      <c r="U318" s="5" t="s">
        <v>3817</v>
      </c>
      <c r="V318" s="5" t="s">
        <v>3818</v>
      </c>
      <c r="W318" s="5" t="s">
        <v>3819</v>
      </c>
      <c r="X318" s="5" t="s">
        <v>3820</v>
      </c>
      <c r="Y318" s="5" t="s">
        <v>3821</v>
      </c>
      <c r="Z318" s="5">
        <v>1.0</v>
      </c>
      <c r="AA318" s="5">
        <v>2026.0</v>
      </c>
      <c r="AB318" s="5" t="s">
        <v>34</v>
      </c>
    </row>
    <row r="319" ht="15.75" customHeight="1">
      <c r="A319" s="4" t="s">
        <v>3822</v>
      </c>
      <c r="B319" s="5" t="s">
        <v>2820</v>
      </c>
      <c r="C319" s="12" t="str">
        <f>"https://" &amp; "letterboxd" &amp; ".com/film/pitico-hermes-ayres-azevedo-1881-1959-historiador-da-provincia/"</f>
        <v>https://letterboxd.com/film/pitico-hermes-ayres-azevedo-1881-1959-historiador-da-provincia/</v>
      </c>
      <c r="D319" s="7" t="s">
        <v>3823</v>
      </c>
      <c r="E319" s="5"/>
      <c r="F319" s="5" t="s">
        <v>81</v>
      </c>
      <c r="G319" s="5" t="s">
        <v>2138</v>
      </c>
      <c r="H319" s="5" t="s">
        <v>34</v>
      </c>
      <c r="I319" s="8">
        <v>75.0</v>
      </c>
      <c r="J319" s="9" t="s">
        <v>35</v>
      </c>
      <c r="K319" s="5" t="s">
        <v>2138</v>
      </c>
      <c r="L319" s="5" t="s">
        <v>34</v>
      </c>
      <c r="M319" s="5"/>
      <c r="N319" s="5"/>
      <c r="O319" s="5"/>
      <c r="P319" s="5" t="s">
        <v>3824</v>
      </c>
      <c r="Q319" s="5" t="s">
        <v>3825</v>
      </c>
      <c r="R319" s="5" t="s">
        <v>3826</v>
      </c>
      <c r="S319" s="5" t="s">
        <v>3827</v>
      </c>
      <c r="T319" s="5" t="s">
        <v>3828</v>
      </c>
      <c r="U319" s="5" t="s">
        <v>3829</v>
      </c>
      <c r="V319" s="5" t="s">
        <v>3824</v>
      </c>
      <c r="W319" s="5" t="s">
        <v>3830</v>
      </c>
      <c r="X319" s="5" t="s">
        <v>3831</v>
      </c>
      <c r="Y319" s="5" t="s">
        <v>3832</v>
      </c>
      <c r="Z319" s="5">
        <v>1.0</v>
      </c>
      <c r="AA319" s="5">
        <v>2026.0</v>
      </c>
      <c r="AB319" s="5" t="s">
        <v>34</v>
      </c>
    </row>
    <row r="320" ht="15.75" customHeight="1">
      <c r="A320" s="4" t="s">
        <v>3833</v>
      </c>
      <c r="B320" s="5" t="s">
        <v>2820</v>
      </c>
      <c r="C320" s="12" t="str">
        <f>"https://" &amp; "letterboxd" &amp; ".com/film/pontos-de-partida/"</f>
        <v>https://letterboxd.com/film/pontos-de-partida/</v>
      </c>
      <c r="D320" s="7" t="s">
        <v>3834</v>
      </c>
      <c r="E320" s="5"/>
      <c r="F320" s="5" t="s">
        <v>81</v>
      </c>
      <c r="G320" s="5" t="s">
        <v>2138</v>
      </c>
      <c r="H320" s="5" t="s">
        <v>83</v>
      </c>
      <c r="I320" s="8">
        <v>101.0</v>
      </c>
      <c r="J320" s="9" t="s">
        <v>35</v>
      </c>
      <c r="K320" s="5" t="s">
        <v>2138</v>
      </c>
      <c r="L320" s="5" t="s">
        <v>83</v>
      </c>
      <c r="M320" s="5"/>
      <c r="N320" s="5"/>
      <c r="O320" s="5"/>
      <c r="P320" s="5" t="s">
        <v>3835</v>
      </c>
      <c r="Q320" s="5" t="s">
        <v>3836</v>
      </c>
      <c r="R320" s="5" t="s">
        <v>3837</v>
      </c>
      <c r="S320" s="5" t="s">
        <v>3838</v>
      </c>
      <c r="T320" s="5" t="s">
        <v>3839</v>
      </c>
      <c r="U320" s="5" t="s">
        <v>3840</v>
      </c>
      <c r="V320" s="5" t="s">
        <v>3841</v>
      </c>
      <c r="W320" s="5"/>
      <c r="X320" s="5" t="s">
        <v>3842</v>
      </c>
      <c r="Y320" s="5" t="s">
        <v>3843</v>
      </c>
      <c r="Z320" s="5">
        <v>3.0</v>
      </c>
      <c r="AA320" s="5">
        <v>2026.0</v>
      </c>
      <c r="AB320" s="5" t="s">
        <v>83</v>
      </c>
    </row>
    <row r="321" ht="15.75" customHeight="1">
      <c r="A321" s="4" t="s">
        <v>3844</v>
      </c>
      <c r="B321" s="5" t="s">
        <v>2820</v>
      </c>
      <c r="C321" s="12" t="str">
        <f>"https://" &amp; "letterboxd" &amp; ".com/film/por-que-nao/"</f>
        <v>https://letterboxd.com/film/por-que-nao/</v>
      </c>
      <c r="D321" s="7" t="s">
        <v>3845</v>
      </c>
      <c r="E321" s="5"/>
      <c r="F321" s="5" t="s">
        <v>81</v>
      </c>
      <c r="G321" s="5" t="s">
        <v>2138</v>
      </c>
      <c r="H321" s="5" t="s">
        <v>83</v>
      </c>
      <c r="I321" s="8">
        <v>71.0</v>
      </c>
      <c r="J321" s="9" t="s">
        <v>35</v>
      </c>
      <c r="K321" s="5" t="s">
        <v>2138</v>
      </c>
      <c r="L321" s="5" t="s">
        <v>83</v>
      </c>
      <c r="M321" s="5"/>
      <c r="N321" s="5"/>
      <c r="O321" s="5"/>
      <c r="P321" s="5" t="s">
        <v>3846</v>
      </c>
      <c r="Q321" s="5" t="s">
        <v>3846</v>
      </c>
      <c r="R321" s="5" t="s">
        <v>3847</v>
      </c>
      <c r="S321" s="5" t="s">
        <v>3848</v>
      </c>
      <c r="T321" s="5"/>
      <c r="U321" s="5" t="s">
        <v>3849</v>
      </c>
      <c r="V321" s="5" t="s">
        <v>3850</v>
      </c>
      <c r="W321" s="5" t="s">
        <v>3851</v>
      </c>
      <c r="X321" s="5" t="s">
        <v>3852</v>
      </c>
      <c r="Y321" s="5" t="s">
        <v>3853</v>
      </c>
      <c r="Z321" s="5">
        <v>2.0</v>
      </c>
      <c r="AA321" s="5">
        <v>2026.0</v>
      </c>
      <c r="AB321" s="5" t="s">
        <v>83</v>
      </c>
    </row>
    <row r="322" ht="15.75" customHeight="1">
      <c r="A322" s="4" t="s">
        <v>3854</v>
      </c>
      <c r="B322" s="5" t="s">
        <v>2820</v>
      </c>
      <c r="C322" s="12" t="s">
        <v>3855</v>
      </c>
      <c r="D322" s="7" t="s">
        <v>3856</v>
      </c>
      <c r="E322" s="5"/>
      <c r="F322" s="5" t="s">
        <v>81</v>
      </c>
      <c r="G322" s="5" t="s">
        <v>2138</v>
      </c>
      <c r="H322" s="5" t="s">
        <v>34</v>
      </c>
      <c r="I322" s="8">
        <v>111.0</v>
      </c>
      <c r="J322" s="9" t="s">
        <v>35</v>
      </c>
      <c r="K322" s="5" t="s">
        <v>2138</v>
      </c>
      <c r="L322" s="5" t="s">
        <v>34</v>
      </c>
      <c r="M322" s="5"/>
      <c r="N322" s="5"/>
      <c r="O322" s="5"/>
      <c r="P322" s="5" t="s">
        <v>3857</v>
      </c>
      <c r="Q322" s="5" t="s">
        <v>3857</v>
      </c>
      <c r="R322" s="5" t="s">
        <v>3858</v>
      </c>
      <c r="S322" s="5" t="s">
        <v>3859</v>
      </c>
      <c r="T322" s="5" t="s">
        <v>3860</v>
      </c>
      <c r="U322" s="5" t="s">
        <v>3861</v>
      </c>
      <c r="V322" s="5" t="s">
        <v>1171</v>
      </c>
      <c r="W322" s="5" t="s">
        <v>3862</v>
      </c>
      <c r="X322" s="5" t="s">
        <v>3863</v>
      </c>
      <c r="Y322" s="5" t="s">
        <v>3864</v>
      </c>
      <c r="Z322" s="5">
        <v>3.0</v>
      </c>
      <c r="AA322" s="5">
        <v>2026.0</v>
      </c>
      <c r="AB322" s="5" t="s">
        <v>34</v>
      </c>
    </row>
    <row r="323" ht="15.75" customHeight="1">
      <c r="A323" s="4" t="s">
        <v>3865</v>
      </c>
      <c r="B323" s="5" t="s">
        <v>2820</v>
      </c>
      <c r="C323" s="12" t="s">
        <v>3866</v>
      </c>
      <c r="D323" s="7" t="s">
        <v>3867</v>
      </c>
      <c r="E323" s="5"/>
      <c r="F323" s="5" t="s">
        <v>81</v>
      </c>
      <c r="G323" s="5" t="s">
        <v>2138</v>
      </c>
      <c r="H323" s="5" t="s">
        <v>34</v>
      </c>
      <c r="I323" s="8">
        <v>17.0</v>
      </c>
      <c r="J323" s="9" t="s">
        <v>35</v>
      </c>
      <c r="K323" s="5" t="s">
        <v>2138</v>
      </c>
      <c r="L323" s="5" t="s">
        <v>34</v>
      </c>
      <c r="M323" s="5"/>
      <c r="N323" s="5"/>
      <c r="O323" s="5"/>
      <c r="P323" s="5" t="s">
        <v>3868</v>
      </c>
      <c r="Q323" s="5" t="s">
        <v>3868</v>
      </c>
      <c r="R323" s="5" t="s">
        <v>3869</v>
      </c>
      <c r="S323" s="5" t="s">
        <v>3870</v>
      </c>
      <c r="T323" s="5" t="s">
        <v>3871</v>
      </c>
      <c r="U323" s="5" t="s">
        <v>3872</v>
      </c>
      <c r="V323" s="5" t="s">
        <v>3873</v>
      </c>
      <c r="W323" s="5" t="s">
        <v>3874</v>
      </c>
      <c r="X323" s="5" t="s">
        <v>3875</v>
      </c>
      <c r="Y323" s="5" t="s">
        <v>3876</v>
      </c>
      <c r="Z323" s="5">
        <v>4.0</v>
      </c>
      <c r="AA323" s="5">
        <v>2026.0</v>
      </c>
      <c r="AB323" s="5" t="s">
        <v>34</v>
      </c>
    </row>
    <row r="324" ht="15.75" customHeight="1">
      <c r="A324" s="4" t="s">
        <v>3877</v>
      </c>
      <c r="B324" s="5" t="s">
        <v>2820</v>
      </c>
      <c r="C324" s="12" t="str">
        <f>"https://" &amp; "letterboxd" &amp; ".com/film/revelacao-2026/"</f>
        <v>https://letterboxd.com/film/revelacao-2026/</v>
      </c>
      <c r="D324" s="7" t="s">
        <v>3878</v>
      </c>
      <c r="E324" s="5"/>
      <c r="F324" s="5" t="s">
        <v>81</v>
      </c>
      <c r="G324" s="5" t="s">
        <v>1153</v>
      </c>
      <c r="H324" s="5" t="s">
        <v>34</v>
      </c>
      <c r="I324" s="8">
        <v>17.0</v>
      </c>
      <c r="J324" s="9" t="s">
        <v>35</v>
      </c>
      <c r="K324" s="5" t="s">
        <v>3549</v>
      </c>
      <c r="L324" s="5" t="s">
        <v>34</v>
      </c>
      <c r="M324" s="5"/>
      <c r="N324" s="5"/>
      <c r="O324" s="5"/>
      <c r="P324" s="5" t="s">
        <v>3879</v>
      </c>
      <c r="Q324" s="5" t="s">
        <v>3880</v>
      </c>
      <c r="R324" s="5" t="s">
        <v>3881</v>
      </c>
      <c r="S324" s="5" t="s">
        <v>3882</v>
      </c>
      <c r="T324" s="5" t="s">
        <v>3883</v>
      </c>
      <c r="U324" s="5" t="s">
        <v>3884</v>
      </c>
      <c r="V324" s="5" t="s">
        <v>3885</v>
      </c>
      <c r="W324" s="5" t="s">
        <v>3886</v>
      </c>
      <c r="X324" s="5" t="s">
        <v>3887</v>
      </c>
      <c r="Y324" s="5" t="s">
        <v>3888</v>
      </c>
      <c r="Z324" s="5">
        <v>1.0</v>
      </c>
      <c r="AA324" s="5">
        <v>2026.0</v>
      </c>
      <c r="AB324" s="5" t="s">
        <v>34</v>
      </c>
    </row>
    <row r="325" ht="15.75" customHeight="1">
      <c r="A325" s="4" t="s">
        <v>3889</v>
      </c>
      <c r="B325" s="5" t="s">
        <v>2820</v>
      </c>
      <c r="C325" s="12" t="str">
        <f>"https://" &amp; "letterboxd" &amp; ".com/film/santo-2026/"</f>
        <v>https://letterboxd.com/film/santo-2026/</v>
      </c>
      <c r="D325" s="7" t="s">
        <v>3890</v>
      </c>
      <c r="E325" s="5"/>
      <c r="F325" s="5" t="s">
        <v>81</v>
      </c>
      <c r="G325" s="5" t="s">
        <v>2138</v>
      </c>
      <c r="H325" s="5" t="s">
        <v>34</v>
      </c>
      <c r="I325" s="8">
        <v>15.0</v>
      </c>
      <c r="J325" s="9" t="s">
        <v>35</v>
      </c>
      <c r="K325" s="5" t="s">
        <v>2138</v>
      </c>
      <c r="L325" s="5" t="s">
        <v>34</v>
      </c>
      <c r="M325" s="5"/>
      <c r="N325" s="5"/>
      <c r="O325" s="5"/>
      <c r="P325" s="5" t="s">
        <v>3891</v>
      </c>
      <c r="Q325" s="5" t="s">
        <v>3891</v>
      </c>
      <c r="R325" s="5" t="s">
        <v>3892</v>
      </c>
      <c r="S325" s="5"/>
      <c r="T325" s="5" t="s">
        <v>3014</v>
      </c>
      <c r="U325" s="5" t="s">
        <v>3891</v>
      </c>
      <c r="V325" s="5" t="s">
        <v>3893</v>
      </c>
      <c r="W325" s="5" t="s">
        <v>3894</v>
      </c>
      <c r="X325" s="5" t="s">
        <v>3895</v>
      </c>
      <c r="Y325" s="5" t="s">
        <v>3896</v>
      </c>
      <c r="Z325" s="5">
        <v>4.0</v>
      </c>
      <c r="AA325" s="5">
        <v>2026.0</v>
      </c>
      <c r="AB325" s="5" t="s">
        <v>34</v>
      </c>
    </row>
    <row r="326" ht="15.75" customHeight="1">
      <c r="A326" s="4" t="s">
        <v>3897</v>
      </c>
      <c r="B326" s="5" t="s">
        <v>2820</v>
      </c>
      <c r="C326" s="12" t="str">
        <f>"https://" &amp; "letterboxd" &amp; ".com/film/se-eu-fosse-voce-3/"</f>
        <v>https://letterboxd.com/film/se-eu-fosse-voce-3/</v>
      </c>
      <c r="D326" s="7" t="s">
        <v>3898</v>
      </c>
      <c r="E326" s="5"/>
      <c r="F326" s="5" t="s">
        <v>81</v>
      </c>
      <c r="G326" s="5" t="s">
        <v>2138</v>
      </c>
      <c r="H326" s="5" t="s">
        <v>34</v>
      </c>
      <c r="I326" s="8">
        <v>92.0</v>
      </c>
      <c r="J326" s="9" t="s">
        <v>35</v>
      </c>
      <c r="K326" s="5" t="s">
        <v>2138</v>
      </c>
      <c r="L326" s="5" t="s">
        <v>34</v>
      </c>
      <c r="M326" s="5"/>
      <c r="N326" s="5"/>
      <c r="O326" s="5"/>
      <c r="P326" s="5" t="s">
        <v>3899</v>
      </c>
      <c r="Q326" s="5" t="s">
        <v>3900</v>
      </c>
      <c r="R326" s="5" t="s">
        <v>3901</v>
      </c>
      <c r="S326" s="5" t="s">
        <v>3902</v>
      </c>
      <c r="T326" s="5" t="s">
        <v>3903</v>
      </c>
      <c r="U326" s="5" t="s">
        <v>3600</v>
      </c>
      <c r="V326" s="5" t="s">
        <v>3904</v>
      </c>
      <c r="W326" s="5" t="s">
        <v>3905</v>
      </c>
      <c r="X326" s="5" t="s">
        <v>3906</v>
      </c>
      <c r="Y326" s="5" t="s">
        <v>3907</v>
      </c>
      <c r="Z326" s="5">
        <v>2.0</v>
      </c>
      <c r="AA326" s="5">
        <v>2026.0</v>
      </c>
      <c r="AB326" s="5" t="s">
        <v>34</v>
      </c>
    </row>
    <row r="327" ht="15.75" customHeight="1">
      <c r="A327" s="4" t="s">
        <v>3908</v>
      </c>
      <c r="B327" s="5" t="s">
        <v>2820</v>
      </c>
      <c r="C327" s="12" t="str">
        <f>"https://" &amp; "letterboxd" &amp; ".com/film/seducao-2026/"</f>
        <v>https://letterboxd.com/film/seducao-2026/</v>
      </c>
      <c r="D327" s="7" t="s">
        <v>3909</v>
      </c>
      <c r="E327" s="5"/>
      <c r="F327" s="5" t="s">
        <v>81</v>
      </c>
      <c r="G327" s="5" t="s">
        <v>2138</v>
      </c>
      <c r="H327" s="5" t="s">
        <v>34</v>
      </c>
      <c r="I327" s="8">
        <v>85.0</v>
      </c>
      <c r="J327" s="9" t="s">
        <v>35</v>
      </c>
      <c r="K327" s="5" t="s">
        <v>2138</v>
      </c>
      <c r="L327" s="5" t="s">
        <v>34</v>
      </c>
      <c r="M327" s="5"/>
      <c r="N327" s="5"/>
      <c r="O327" s="5"/>
      <c r="P327" s="5" t="s">
        <v>3910</v>
      </c>
      <c r="Q327" s="5" t="s">
        <v>3911</v>
      </c>
      <c r="R327" s="5" t="s">
        <v>3912</v>
      </c>
      <c r="S327" s="5"/>
      <c r="T327" s="5" t="s">
        <v>3913</v>
      </c>
      <c r="U327" s="5" t="s">
        <v>3914</v>
      </c>
      <c r="V327" s="5" t="s">
        <v>3915</v>
      </c>
      <c r="W327" s="5" t="s">
        <v>3916</v>
      </c>
      <c r="X327" s="5" t="s">
        <v>3917</v>
      </c>
      <c r="Y327" s="5" t="s">
        <v>3918</v>
      </c>
      <c r="Z327" s="5">
        <v>2.0</v>
      </c>
      <c r="AA327" s="5">
        <v>2026.0</v>
      </c>
      <c r="AB327" s="5" t="s">
        <v>34</v>
      </c>
    </row>
    <row r="328" ht="15.75" customHeight="1">
      <c r="A328" s="4" t="s">
        <v>3919</v>
      </c>
      <c r="B328" s="5" t="s">
        <v>2820</v>
      </c>
      <c r="C328" s="12" t="str">
        <f>"https://" &amp; "letterboxd" &amp; ".com/film/squel-confissoes-de-uma-porta-bandeira/"</f>
        <v>https://letterboxd.com/film/squel-confissoes-de-uma-porta-bandeira/</v>
      </c>
      <c r="D328" s="7" t="s">
        <v>3920</v>
      </c>
      <c r="E328" s="5"/>
      <c r="F328" s="5" t="s">
        <v>81</v>
      </c>
      <c r="G328" s="5" t="s">
        <v>2138</v>
      </c>
      <c r="H328" s="5" t="s">
        <v>83</v>
      </c>
      <c r="I328" s="8">
        <v>85.0</v>
      </c>
      <c r="J328" s="9" t="s">
        <v>35</v>
      </c>
      <c r="K328" s="5" t="s">
        <v>2138</v>
      </c>
      <c r="L328" s="5" t="s">
        <v>83</v>
      </c>
      <c r="M328" s="5"/>
      <c r="N328" s="5"/>
      <c r="O328" s="5"/>
      <c r="P328" s="5" t="s">
        <v>3921</v>
      </c>
      <c r="Q328" s="5" t="s">
        <v>3921</v>
      </c>
      <c r="R328" s="5" t="s">
        <v>3922</v>
      </c>
      <c r="S328" s="5" t="s">
        <v>3923</v>
      </c>
      <c r="T328" s="5" t="s">
        <v>3924</v>
      </c>
      <c r="U328" s="5" t="s">
        <v>3925</v>
      </c>
      <c r="V328" s="5" t="s">
        <v>3926</v>
      </c>
      <c r="W328" s="5" t="s">
        <v>3927</v>
      </c>
      <c r="X328" s="5" t="s">
        <v>3928</v>
      </c>
      <c r="Y328" s="5" t="s">
        <v>3929</v>
      </c>
      <c r="Z328" s="5">
        <v>3.0</v>
      </c>
      <c r="AA328" s="5">
        <v>2026.0</v>
      </c>
      <c r="AB328" s="5" t="s">
        <v>83</v>
      </c>
    </row>
    <row r="329" ht="15.75" customHeight="1">
      <c r="A329" s="4" t="s">
        <v>3930</v>
      </c>
      <c r="B329" s="5" t="s">
        <v>2820</v>
      </c>
      <c r="C329" s="12" t="str">
        <f>"https://" &amp; "letterboxd" &amp; ".com/film/taisa-machado-em-estado-de-encontro/"</f>
        <v>https://letterboxd.com/film/taisa-machado-em-estado-de-encontro/</v>
      </c>
      <c r="D329" s="7" t="s">
        <v>3931</v>
      </c>
      <c r="E329" s="5"/>
      <c r="F329" s="5" t="s">
        <v>81</v>
      </c>
      <c r="G329" s="5" t="s">
        <v>2138</v>
      </c>
      <c r="H329" s="5" t="s">
        <v>83</v>
      </c>
      <c r="I329" s="8">
        <v>18.0</v>
      </c>
      <c r="J329" s="9" t="s">
        <v>35</v>
      </c>
      <c r="K329" s="5" t="s">
        <v>2138</v>
      </c>
      <c r="L329" s="5" t="s">
        <v>83</v>
      </c>
      <c r="M329" s="5"/>
      <c r="N329" s="5"/>
      <c r="O329" s="5"/>
      <c r="P329" s="5" t="s">
        <v>3932</v>
      </c>
      <c r="Q329" s="5" t="s">
        <v>3932</v>
      </c>
      <c r="R329" s="5" t="s">
        <v>3933</v>
      </c>
      <c r="S329" s="5" t="s">
        <v>3934</v>
      </c>
      <c r="T329" s="5" t="s">
        <v>3935</v>
      </c>
      <c r="U329" s="5" t="s">
        <v>3936</v>
      </c>
      <c r="V329" s="5"/>
      <c r="W329" s="5" t="s">
        <v>3937</v>
      </c>
      <c r="X329" s="5" t="s">
        <v>3938</v>
      </c>
      <c r="Y329" s="5" t="s">
        <v>3939</v>
      </c>
      <c r="Z329" s="5">
        <v>4.0</v>
      </c>
      <c r="AA329" s="5">
        <v>2026.0</v>
      </c>
      <c r="AB329" s="5" t="s">
        <v>83</v>
      </c>
    </row>
    <row r="330" ht="15.75" customHeight="1">
      <c r="A330" s="4" t="s">
        <v>3940</v>
      </c>
      <c r="B330" s="5" t="s">
        <v>2820</v>
      </c>
      <c r="C330" s="12" t="str">
        <f>"https://" &amp; "letterboxd" &amp; ".com/film/talisma-2026/"</f>
        <v>https://letterboxd.com/film/talisma-2026/</v>
      </c>
      <c r="D330" s="7" t="s">
        <v>3941</v>
      </c>
      <c r="E330" s="5"/>
      <c r="F330" s="5" t="s">
        <v>81</v>
      </c>
      <c r="G330" s="5" t="s">
        <v>2138</v>
      </c>
      <c r="H330" s="5" t="s">
        <v>34</v>
      </c>
      <c r="I330" s="8">
        <v>80.0</v>
      </c>
      <c r="J330" s="9" t="s">
        <v>35</v>
      </c>
      <c r="K330" s="5" t="s">
        <v>2138</v>
      </c>
      <c r="L330" s="5" t="s">
        <v>34</v>
      </c>
      <c r="M330" s="5"/>
      <c r="N330" s="5"/>
      <c r="O330" s="5"/>
      <c r="P330" s="5" t="s">
        <v>3942</v>
      </c>
      <c r="Q330" s="5" t="s">
        <v>3943</v>
      </c>
      <c r="R330" s="5" t="s">
        <v>3944</v>
      </c>
      <c r="S330" s="5" t="s">
        <v>3945</v>
      </c>
      <c r="T330" s="5" t="s">
        <v>3946</v>
      </c>
      <c r="U330" s="5" t="s">
        <v>3947</v>
      </c>
      <c r="V330" s="5" t="s">
        <v>3180</v>
      </c>
      <c r="W330" s="5" t="s">
        <v>3948</v>
      </c>
      <c r="X330" s="5" t="s">
        <v>3949</v>
      </c>
      <c r="Y330" s="5" t="s">
        <v>3950</v>
      </c>
      <c r="Z330" s="5">
        <v>4.0</v>
      </c>
      <c r="AA330" s="5">
        <v>2026.0</v>
      </c>
      <c r="AB330" s="5" t="s">
        <v>34</v>
      </c>
    </row>
    <row r="331" ht="15.75" customHeight="1">
      <c r="A331" s="4" t="s">
        <v>3951</v>
      </c>
      <c r="B331" s="5" t="s">
        <v>2820</v>
      </c>
      <c r="C331" s="12" t="str">
        <f>"https://" &amp; "letterboxd" &amp; ".com/film/tanaru/"</f>
        <v>https://letterboxd.com/film/tanaru/</v>
      </c>
      <c r="D331" s="7" t="s">
        <v>3952</v>
      </c>
      <c r="E331" s="5"/>
      <c r="F331" s="5" t="s">
        <v>81</v>
      </c>
      <c r="G331" s="5" t="s">
        <v>2138</v>
      </c>
      <c r="H331" s="5" t="s">
        <v>83</v>
      </c>
      <c r="I331" s="8">
        <v>16.0</v>
      </c>
      <c r="J331" s="9" t="s">
        <v>35</v>
      </c>
      <c r="K331" s="5" t="s">
        <v>2138</v>
      </c>
      <c r="L331" s="5" t="s">
        <v>83</v>
      </c>
      <c r="M331" s="5"/>
      <c r="N331" s="5"/>
      <c r="O331" s="5"/>
      <c r="P331" s="5" t="s">
        <v>3953</v>
      </c>
      <c r="Q331" s="5" t="s">
        <v>3953</v>
      </c>
      <c r="R331" s="5" t="s">
        <v>3954</v>
      </c>
      <c r="S331" s="5"/>
      <c r="T331" s="5" t="s">
        <v>3955</v>
      </c>
      <c r="U331" s="5" t="s">
        <v>3956</v>
      </c>
      <c r="V331" s="5" t="s">
        <v>3957</v>
      </c>
      <c r="W331" s="5" t="s">
        <v>3958</v>
      </c>
      <c r="X331" s="5" t="s">
        <v>3959</v>
      </c>
      <c r="Y331" s="5" t="s">
        <v>3960</v>
      </c>
      <c r="Z331" s="5">
        <v>2.0</v>
      </c>
      <c r="AA331" s="5">
        <v>2026.0</v>
      </c>
      <c r="AB331" s="5" t="s">
        <v>83</v>
      </c>
    </row>
    <row r="332" ht="15.75" customHeight="1">
      <c r="A332" s="4" t="s">
        <v>3961</v>
      </c>
      <c r="B332" s="5" t="s">
        <v>2820</v>
      </c>
      <c r="C332" s="12" t="s">
        <v>3962</v>
      </c>
      <c r="D332" s="7" t="s">
        <v>3963</v>
      </c>
      <c r="E332" s="5" t="s">
        <v>3964</v>
      </c>
      <c r="F332" s="5" t="s">
        <v>32</v>
      </c>
      <c r="G332" s="5" t="s">
        <v>2138</v>
      </c>
      <c r="H332" s="5" t="s">
        <v>34</v>
      </c>
      <c r="I332" s="8">
        <v>16.0</v>
      </c>
      <c r="J332" s="9" t="s">
        <v>35</v>
      </c>
      <c r="K332" s="5" t="s">
        <v>2138</v>
      </c>
      <c r="L332" s="5" t="s">
        <v>34</v>
      </c>
      <c r="M332" s="5"/>
      <c r="N332" s="5"/>
      <c r="O332" s="5"/>
      <c r="P332" s="5" t="s">
        <v>3049</v>
      </c>
      <c r="Q332" s="5" t="s">
        <v>3049</v>
      </c>
      <c r="R332" s="5" t="s">
        <v>3965</v>
      </c>
      <c r="S332" s="5" t="s">
        <v>3965</v>
      </c>
      <c r="T332" s="5" t="s">
        <v>3966</v>
      </c>
      <c r="U332" s="5" t="s">
        <v>3967</v>
      </c>
      <c r="V332" s="5" t="s">
        <v>3968</v>
      </c>
      <c r="W332" s="5" t="s">
        <v>3969</v>
      </c>
      <c r="X332" s="5" t="s">
        <v>3970</v>
      </c>
      <c r="Y332" s="5" t="s">
        <v>3971</v>
      </c>
      <c r="Z332" s="5">
        <v>3.0</v>
      </c>
      <c r="AA332" s="5">
        <v>2026.0</v>
      </c>
      <c r="AB332" s="5" t="s">
        <v>34</v>
      </c>
    </row>
    <row r="333" ht="15.75" customHeight="1">
      <c r="A333" s="4" t="s">
        <v>3972</v>
      </c>
      <c r="B333" s="5" t="s">
        <v>2820</v>
      </c>
      <c r="C333" s="12" t="str">
        <f>"https://" &amp; "letterboxd" &amp; ".com/film/tempo-a-faca/"</f>
        <v>https://letterboxd.com/film/tempo-a-faca/</v>
      </c>
      <c r="D333" s="7" t="s">
        <v>3973</v>
      </c>
      <c r="E333" s="5"/>
      <c r="F333" s="5" t="s">
        <v>81</v>
      </c>
      <c r="G333" s="5" t="s">
        <v>2138</v>
      </c>
      <c r="H333" s="5" t="s">
        <v>34</v>
      </c>
      <c r="I333" s="8">
        <v>119.0</v>
      </c>
      <c r="J333" s="9" t="s">
        <v>35</v>
      </c>
      <c r="K333" s="5" t="s">
        <v>2138</v>
      </c>
      <c r="L333" s="5" t="s">
        <v>34</v>
      </c>
      <c r="M333" s="5"/>
      <c r="N333" s="5"/>
      <c r="O333" s="5"/>
      <c r="P333" s="5" t="s">
        <v>3974</v>
      </c>
      <c r="Q333" s="5" t="s">
        <v>3975</v>
      </c>
      <c r="R333" s="5" t="s">
        <v>3976</v>
      </c>
      <c r="S333" s="5" t="s">
        <v>3977</v>
      </c>
      <c r="T333" s="5" t="s">
        <v>3978</v>
      </c>
      <c r="U333" s="5" t="s">
        <v>3979</v>
      </c>
      <c r="V333" s="5" t="s">
        <v>3980</v>
      </c>
      <c r="W333" s="5" t="s">
        <v>3981</v>
      </c>
      <c r="X333" s="5" t="s">
        <v>3982</v>
      </c>
      <c r="Y333" s="5" t="s">
        <v>3983</v>
      </c>
      <c r="Z333" s="5">
        <v>2.0</v>
      </c>
      <c r="AA333" s="5">
        <v>2026.0</v>
      </c>
      <c r="AB333" s="5" t="s">
        <v>34</v>
      </c>
    </row>
    <row r="334" ht="15.75" customHeight="1">
      <c r="A334" s="4" t="s">
        <v>3984</v>
      </c>
      <c r="B334" s="5" t="s">
        <v>2820</v>
      </c>
      <c r="C334" s="12" t="str">
        <f>"https://" &amp; "letterboxd" &amp; ".com/film/tempos-de-inocencia/"</f>
        <v>https://letterboxd.com/film/tempos-de-inocencia/</v>
      </c>
      <c r="D334" s="7" t="s">
        <v>3985</v>
      </c>
      <c r="E334" s="5"/>
      <c r="F334" s="5" t="s">
        <v>81</v>
      </c>
      <c r="G334" s="5" t="s">
        <v>2138</v>
      </c>
      <c r="H334" s="5" t="s">
        <v>83</v>
      </c>
      <c r="I334" s="8">
        <v>23.0</v>
      </c>
      <c r="J334" s="9" t="s">
        <v>35</v>
      </c>
      <c r="K334" s="5" t="s">
        <v>2138</v>
      </c>
      <c r="L334" s="5" t="s">
        <v>83</v>
      </c>
      <c r="M334" s="5"/>
      <c r="N334" s="5"/>
      <c r="O334" s="5"/>
      <c r="P334" s="5" t="s">
        <v>3986</v>
      </c>
      <c r="Q334" s="5" t="s">
        <v>3986</v>
      </c>
      <c r="R334" s="5" t="s">
        <v>2978</v>
      </c>
      <c r="S334" s="5" t="s">
        <v>2978</v>
      </c>
      <c r="T334" s="5" t="s">
        <v>3987</v>
      </c>
      <c r="U334" s="5" t="s">
        <v>3988</v>
      </c>
      <c r="V334" s="5" t="s">
        <v>3989</v>
      </c>
      <c r="W334" s="5" t="s">
        <v>3990</v>
      </c>
      <c r="X334" s="5" t="s">
        <v>3991</v>
      </c>
      <c r="Y334" s="5" t="s">
        <v>3992</v>
      </c>
      <c r="Z334" s="5">
        <v>4.0</v>
      </c>
      <c r="AA334" s="5">
        <v>2026.0</v>
      </c>
      <c r="AB334" s="5" t="s">
        <v>83</v>
      </c>
    </row>
    <row r="335" ht="15.75" customHeight="1">
      <c r="A335" s="4" t="s">
        <v>3993</v>
      </c>
      <c r="B335" s="5" t="s">
        <v>2820</v>
      </c>
      <c r="C335" s="12" t="str">
        <f>"https://" &amp; "letterboxd" &amp; ".com/film/turma-101/"</f>
        <v>https://letterboxd.com/film/turma-101/</v>
      </c>
      <c r="D335" s="7" t="s">
        <v>3994</v>
      </c>
      <c r="E335" s="5"/>
      <c r="F335" s="5" t="s">
        <v>81</v>
      </c>
      <c r="G335" s="5" t="s">
        <v>2138</v>
      </c>
      <c r="H335" s="5" t="s">
        <v>83</v>
      </c>
      <c r="I335" s="8">
        <v>75.0</v>
      </c>
      <c r="J335" s="9" t="s">
        <v>35</v>
      </c>
      <c r="K335" s="5" t="s">
        <v>2138</v>
      </c>
      <c r="L335" s="5" t="s">
        <v>83</v>
      </c>
      <c r="M335" s="5"/>
      <c r="N335" s="5"/>
      <c r="O335" s="5"/>
      <c r="P335" s="5" t="s">
        <v>3071</v>
      </c>
      <c r="Q335" s="5" t="s">
        <v>3995</v>
      </c>
      <c r="R335" s="5" t="s">
        <v>3996</v>
      </c>
      <c r="S335" s="5" t="s">
        <v>3997</v>
      </c>
      <c r="T335" s="5" t="s">
        <v>3998</v>
      </c>
      <c r="U335" s="5" t="s">
        <v>3999</v>
      </c>
      <c r="V335" s="5" t="s">
        <v>3926</v>
      </c>
      <c r="W335" s="5"/>
      <c r="X335" s="5" t="s">
        <v>4000</v>
      </c>
      <c r="Y335" s="5" t="s">
        <v>4001</v>
      </c>
      <c r="Z335" s="5">
        <v>4.0</v>
      </c>
      <c r="AA335" s="5">
        <v>2026.0</v>
      </c>
      <c r="AB335" s="5" t="s">
        <v>83</v>
      </c>
    </row>
    <row r="336" ht="15.75" customHeight="1">
      <c r="A336" s="4" t="s">
        <v>4002</v>
      </c>
      <c r="B336" s="5" t="s">
        <v>2820</v>
      </c>
      <c r="C336" s="12" t="str">
        <f>"https://" &amp; "letterboxd" &amp; ".com/film/um-domingo/"</f>
        <v>https://letterboxd.com/film/um-domingo/</v>
      </c>
      <c r="D336" s="7" t="s">
        <v>4003</v>
      </c>
      <c r="E336" s="5" t="s">
        <v>4004</v>
      </c>
      <c r="F336" s="5" t="s">
        <v>32</v>
      </c>
      <c r="G336" s="5" t="s">
        <v>2138</v>
      </c>
      <c r="H336" s="5" t="s">
        <v>34</v>
      </c>
      <c r="I336" s="8">
        <v>15.0</v>
      </c>
      <c r="J336" s="9" t="s">
        <v>35</v>
      </c>
      <c r="K336" s="5" t="s">
        <v>2138</v>
      </c>
      <c r="L336" s="5" t="s">
        <v>34</v>
      </c>
      <c r="M336" s="5"/>
      <c r="N336" s="5"/>
      <c r="O336" s="5"/>
      <c r="P336" s="5" t="s">
        <v>4005</v>
      </c>
      <c r="Q336" s="5" t="s">
        <v>4006</v>
      </c>
      <c r="R336" s="5" t="s">
        <v>4007</v>
      </c>
      <c r="S336" s="5" t="s">
        <v>4008</v>
      </c>
      <c r="T336" s="5" t="s">
        <v>3201</v>
      </c>
      <c r="U336" s="5" t="s">
        <v>4009</v>
      </c>
      <c r="V336" s="5"/>
      <c r="W336" s="5" t="s">
        <v>4010</v>
      </c>
      <c r="X336" s="5" t="s">
        <v>4011</v>
      </c>
      <c r="Y336" s="5" t="s">
        <v>4012</v>
      </c>
      <c r="Z336" s="5">
        <v>4.0</v>
      </c>
      <c r="AA336" s="5">
        <v>2026.0</v>
      </c>
      <c r="AB336" s="5" t="s">
        <v>34</v>
      </c>
    </row>
    <row r="337" ht="15.75" customHeight="1">
      <c r="A337" s="4" t="s">
        <v>4013</v>
      </c>
      <c r="B337" s="5" t="s">
        <v>2820</v>
      </c>
      <c r="C337" s="12" t="s">
        <v>4014</v>
      </c>
      <c r="D337" s="7" t="s">
        <v>4015</v>
      </c>
      <c r="E337" s="5" t="s">
        <v>4016</v>
      </c>
      <c r="F337" s="5" t="s">
        <v>32</v>
      </c>
      <c r="G337" s="5" t="s">
        <v>2138</v>
      </c>
      <c r="H337" s="5" t="s">
        <v>83</v>
      </c>
      <c r="I337" s="8">
        <v>70.0</v>
      </c>
      <c r="J337" s="9" t="s">
        <v>35</v>
      </c>
      <c r="K337" s="5" t="s">
        <v>2138</v>
      </c>
      <c r="L337" s="5" t="s">
        <v>83</v>
      </c>
      <c r="M337" s="5"/>
      <c r="N337" s="5"/>
      <c r="O337" s="5"/>
      <c r="P337" s="5" t="s">
        <v>4017</v>
      </c>
      <c r="Q337" s="5" t="s">
        <v>4018</v>
      </c>
      <c r="R337" s="5" t="s">
        <v>4019</v>
      </c>
      <c r="S337" s="5" t="s">
        <v>4020</v>
      </c>
      <c r="T337" s="5" t="s">
        <v>4021</v>
      </c>
      <c r="U337" s="5" t="s">
        <v>4022</v>
      </c>
      <c r="V337" s="5" t="s">
        <v>4023</v>
      </c>
      <c r="W337" s="5" t="s">
        <v>4024</v>
      </c>
      <c r="X337" s="5" t="s">
        <v>4025</v>
      </c>
      <c r="Y337" s="5" t="s">
        <v>4026</v>
      </c>
      <c r="Z337" s="5">
        <v>4.0</v>
      </c>
      <c r="AA337" s="5">
        <v>2026.0</v>
      </c>
      <c r="AB337" s="5" t="s">
        <v>83</v>
      </c>
    </row>
    <row r="338" ht="15.75" customHeight="1">
      <c r="A338" s="4" t="s">
        <v>4027</v>
      </c>
      <c r="B338" s="5" t="s">
        <v>2820</v>
      </c>
      <c r="C338" s="12" t="s">
        <v>4028</v>
      </c>
      <c r="D338" s="7" t="s">
        <v>4029</v>
      </c>
      <c r="E338" s="5"/>
      <c r="F338" s="5" t="s">
        <v>81</v>
      </c>
      <c r="G338" s="5" t="s">
        <v>2138</v>
      </c>
      <c r="H338" s="5" t="s">
        <v>34</v>
      </c>
      <c r="I338" s="8">
        <v>82.0</v>
      </c>
      <c r="J338" s="9" t="s">
        <v>35</v>
      </c>
      <c r="K338" s="5" t="s">
        <v>2138</v>
      </c>
      <c r="L338" s="5" t="s">
        <v>34</v>
      </c>
      <c r="M338" s="5"/>
      <c r="N338" s="5"/>
      <c r="O338" s="5"/>
      <c r="P338" s="5" t="s">
        <v>4030</v>
      </c>
      <c r="Q338" s="5" t="s">
        <v>4031</v>
      </c>
      <c r="R338" s="5" t="s">
        <v>4032</v>
      </c>
      <c r="S338" s="5" t="s">
        <v>4033</v>
      </c>
      <c r="T338" s="5" t="s">
        <v>4034</v>
      </c>
      <c r="U338" s="5" t="s">
        <v>4035</v>
      </c>
      <c r="V338" s="5" t="s">
        <v>4036</v>
      </c>
      <c r="W338" s="5" t="s">
        <v>4037</v>
      </c>
      <c r="X338" s="5" t="s">
        <v>4038</v>
      </c>
      <c r="Y338" s="5" t="s">
        <v>4039</v>
      </c>
      <c r="Z338" s="5">
        <v>1.0</v>
      </c>
      <c r="AA338" s="5">
        <v>2026.0</v>
      </c>
      <c r="AB338" s="5" t="s">
        <v>34</v>
      </c>
    </row>
    <row r="339" ht="15.75" customHeight="1">
      <c r="A339" s="4" t="s">
        <v>4040</v>
      </c>
      <c r="B339" s="5" t="s">
        <v>2820</v>
      </c>
      <c r="C339" s="12" t="s">
        <v>4041</v>
      </c>
      <c r="D339" s="7" t="s">
        <v>4042</v>
      </c>
      <c r="E339" s="5"/>
      <c r="F339" s="5" t="s">
        <v>81</v>
      </c>
      <c r="G339" s="5" t="s">
        <v>2138</v>
      </c>
      <c r="H339" s="5" t="s">
        <v>34</v>
      </c>
      <c r="I339" s="8">
        <v>144.0</v>
      </c>
      <c r="J339" s="9" t="s">
        <v>35</v>
      </c>
      <c r="K339" s="5" t="s">
        <v>2138</v>
      </c>
      <c r="L339" s="5" t="s">
        <v>34</v>
      </c>
      <c r="M339" s="5"/>
      <c r="N339" s="5"/>
      <c r="O339" s="5"/>
      <c r="P339" s="5" t="s">
        <v>4043</v>
      </c>
      <c r="Q339" s="5" t="s">
        <v>4043</v>
      </c>
      <c r="R339" s="5" t="s">
        <v>4044</v>
      </c>
      <c r="S339" s="5" t="s">
        <v>2912</v>
      </c>
      <c r="T339" s="5" t="s">
        <v>4045</v>
      </c>
      <c r="U339" s="5" t="s">
        <v>4046</v>
      </c>
      <c r="V339" s="5" t="s">
        <v>4047</v>
      </c>
      <c r="W339" s="5" t="s">
        <v>4048</v>
      </c>
      <c r="X339" s="5" t="s">
        <v>4049</v>
      </c>
      <c r="Y339" s="5" t="s">
        <v>4050</v>
      </c>
      <c r="Z339" s="5">
        <v>4.0</v>
      </c>
      <c r="AA339" s="5">
        <v>2026.0</v>
      </c>
      <c r="AB339" s="5" t="s">
        <v>34</v>
      </c>
    </row>
    <row r="340" ht="15.75" customHeight="1">
      <c r="A340" s="4" t="s">
        <v>4051</v>
      </c>
      <c r="B340" s="5" t="s">
        <v>2820</v>
      </c>
      <c r="C340" s="12" t="str">
        <f>"https://" &amp; "letterboxd" &amp; ".com/film/vitoria-da-paz/"</f>
        <v>https://letterboxd.com/film/vitoria-da-paz/</v>
      </c>
      <c r="D340" s="7" t="s">
        <v>4052</v>
      </c>
      <c r="E340" s="5"/>
      <c r="F340" s="5" t="s">
        <v>81</v>
      </c>
      <c r="G340" s="5" t="s">
        <v>2138</v>
      </c>
      <c r="H340" s="5" t="s">
        <v>83</v>
      </c>
      <c r="I340" s="8">
        <v>90.0</v>
      </c>
      <c r="J340" s="9" t="s">
        <v>35</v>
      </c>
      <c r="K340" s="5" t="s">
        <v>2138</v>
      </c>
      <c r="L340" s="5" t="s">
        <v>83</v>
      </c>
      <c r="M340" s="5"/>
      <c r="N340" s="5"/>
      <c r="O340" s="5"/>
      <c r="P340" s="5" t="s">
        <v>4053</v>
      </c>
      <c r="Q340" s="5" t="s">
        <v>4054</v>
      </c>
      <c r="R340" s="5" t="s">
        <v>4055</v>
      </c>
      <c r="S340" s="5" t="s">
        <v>4056</v>
      </c>
      <c r="T340" s="5" t="s">
        <v>4057</v>
      </c>
      <c r="U340" s="5" t="s">
        <v>4058</v>
      </c>
      <c r="V340" s="5" t="s">
        <v>4059</v>
      </c>
      <c r="W340" s="5"/>
      <c r="X340" s="5" t="s">
        <v>4060</v>
      </c>
      <c r="Y340" s="5" t="s">
        <v>4061</v>
      </c>
      <c r="Z340" s="5">
        <v>3.0</v>
      </c>
      <c r="AA340" s="5">
        <v>2026.0</v>
      </c>
      <c r="AB340" s="5" t="s">
        <v>83</v>
      </c>
    </row>
    <row r="341" ht="15.75" customHeight="1">
      <c r="A341" s="4" t="s">
        <v>4062</v>
      </c>
      <c r="B341" s="5" t="s">
        <v>2820</v>
      </c>
      <c r="C341" s="12" t="s">
        <v>4063</v>
      </c>
      <c r="D341" s="7" t="s">
        <v>4064</v>
      </c>
      <c r="E341" s="5"/>
      <c r="F341" s="5" t="s">
        <v>81</v>
      </c>
      <c r="G341" s="5" t="s">
        <v>2138</v>
      </c>
      <c r="H341" s="5" t="s">
        <v>83</v>
      </c>
      <c r="I341" s="8">
        <v>102.0</v>
      </c>
      <c r="J341" s="9" t="s">
        <v>35</v>
      </c>
      <c r="K341" s="5" t="s">
        <v>2138</v>
      </c>
      <c r="L341" s="5" t="s">
        <v>83</v>
      </c>
      <c r="M341" s="5"/>
      <c r="N341" s="5"/>
      <c r="O341" s="5"/>
      <c r="P341" s="5" t="s">
        <v>4065</v>
      </c>
      <c r="Q341" s="5" t="s">
        <v>4066</v>
      </c>
      <c r="R341" s="5" t="s">
        <v>3097</v>
      </c>
      <c r="S341" s="5" t="s">
        <v>3095</v>
      </c>
      <c r="T341" s="5" t="s">
        <v>4067</v>
      </c>
      <c r="U341" s="5" t="s">
        <v>4068</v>
      </c>
      <c r="V341" s="5" t="s">
        <v>4069</v>
      </c>
      <c r="W341" s="5" t="s">
        <v>4069</v>
      </c>
      <c r="X341" s="5" t="s">
        <v>4070</v>
      </c>
      <c r="Y341" s="5" t="s">
        <v>4071</v>
      </c>
      <c r="Z341" s="5">
        <v>3.0</v>
      </c>
      <c r="AA341" s="5">
        <v>2026.0</v>
      </c>
      <c r="AB341" s="5" t="s">
        <v>83</v>
      </c>
    </row>
    <row r="342" ht="15.75" customHeight="1">
      <c r="A342" s="4" t="s">
        <v>4072</v>
      </c>
      <c r="B342" s="5" t="s">
        <v>2820</v>
      </c>
      <c r="C342" s="12" t="str">
        <f>"https://" &amp; "letterboxd" &amp; ".com/film/vozes-na-sua-cabeca/"</f>
        <v>https://letterboxd.com/film/vozes-na-sua-cabeca/</v>
      </c>
      <c r="D342" s="7" t="s">
        <v>4073</v>
      </c>
      <c r="E342" s="5"/>
      <c r="F342" s="5" t="s">
        <v>81</v>
      </c>
      <c r="G342" s="5" t="s">
        <v>2138</v>
      </c>
      <c r="H342" s="5" t="s">
        <v>83</v>
      </c>
      <c r="I342" s="8">
        <v>100.0</v>
      </c>
      <c r="J342" s="9" t="s">
        <v>35</v>
      </c>
      <c r="K342" s="5" t="s">
        <v>2138</v>
      </c>
      <c r="L342" s="5" t="s">
        <v>83</v>
      </c>
      <c r="M342" s="5"/>
      <c r="N342" s="5"/>
      <c r="O342" s="5"/>
      <c r="P342" s="5" t="s">
        <v>4074</v>
      </c>
      <c r="Q342" s="5" t="s">
        <v>4074</v>
      </c>
      <c r="R342" s="5" t="s">
        <v>4075</v>
      </c>
      <c r="S342" s="5" t="s">
        <v>4076</v>
      </c>
      <c r="T342" s="5" t="s">
        <v>4077</v>
      </c>
      <c r="U342" s="5" t="s">
        <v>4078</v>
      </c>
      <c r="V342" s="5" t="s">
        <v>4074</v>
      </c>
      <c r="W342" s="5" t="s">
        <v>4079</v>
      </c>
      <c r="X342" s="5" t="s">
        <v>4080</v>
      </c>
      <c r="Y342" s="5" t="s">
        <v>4081</v>
      </c>
      <c r="Z342" s="5">
        <v>3.0</v>
      </c>
      <c r="AA342" s="5">
        <v>2026.0</v>
      </c>
      <c r="AB342" s="5" t="s">
        <v>83</v>
      </c>
    </row>
    <row r="343" ht="15.75" customHeight="1">
      <c r="A343" s="4" t="s">
        <v>4082</v>
      </c>
      <c r="B343" s="5" t="s">
        <v>4083</v>
      </c>
      <c r="C343" s="12" t="s">
        <v>4084</v>
      </c>
      <c r="D343" s="7" t="s">
        <v>4085</v>
      </c>
      <c r="E343" s="5" t="s">
        <v>4086</v>
      </c>
      <c r="F343" s="5" t="s">
        <v>32</v>
      </c>
      <c r="G343" s="5" t="s">
        <v>4087</v>
      </c>
      <c r="H343" s="5" t="s">
        <v>34</v>
      </c>
      <c r="I343" s="8">
        <v>155.0</v>
      </c>
      <c r="J343" s="9" t="s">
        <v>2139</v>
      </c>
      <c r="K343" s="5" t="s">
        <v>2140</v>
      </c>
      <c r="L343" s="5" t="s">
        <v>34</v>
      </c>
      <c r="M343" s="10" t="s">
        <v>65</v>
      </c>
      <c r="N343" s="10" t="s">
        <v>66</v>
      </c>
      <c r="O343" s="10" t="s">
        <v>129</v>
      </c>
      <c r="P343" s="5" t="s">
        <v>4088</v>
      </c>
      <c r="Q343" s="5" t="s">
        <v>4089</v>
      </c>
      <c r="R343" s="5" t="s">
        <v>4090</v>
      </c>
      <c r="S343" s="5" t="s">
        <v>4091</v>
      </c>
      <c r="T343" s="5" t="s">
        <v>4092</v>
      </c>
      <c r="U343" s="5" t="s">
        <v>4093</v>
      </c>
      <c r="V343" s="5" t="s">
        <v>4094</v>
      </c>
      <c r="W343" s="5" t="s">
        <v>4095</v>
      </c>
      <c r="X343" s="5" t="s">
        <v>4096</v>
      </c>
      <c r="Y343" s="5" t="s">
        <v>4097</v>
      </c>
      <c r="Z343" s="5">
        <v>2.0</v>
      </c>
      <c r="AA343" s="5" t="s">
        <v>2139</v>
      </c>
      <c r="AB343" s="5" t="s">
        <v>34</v>
      </c>
    </row>
    <row r="344" ht="15.75" customHeight="1">
      <c r="A344" s="4" t="s">
        <v>4098</v>
      </c>
      <c r="B344" s="5" t="s">
        <v>4099</v>
      </c>
      <c r="C344" s="12" t="s">
        <v>4100</v>
      </c>
      <c r="D344" s="7" t="s">
        <v>4101</v>
      </c>
      <c r="E344" s="5"/>
      <c r="F344" s="5" t="s">
        <v>81</v>
      </c>
      <c r="G344" s="5" t="s">
        <v>33</v>
      </c>
      <c r="H344" s="5" t="s">
        <v>34</v>
      </c>
      <c r="I344" s="8">
        <v>121.0</v>
      </c>
      <c r="J344" s="9" t="s">
        <v>35</v>
      </c>
      <c r="K344" s="5" t="s">
        <v>33</v>
      </c>
      <c r="L344" s="5" t="s">
        <v>34</v>
      </c>
      <c r="M344" s="10" t="s">
        <v>65</v>
      </c>
      <c r="N344" s="10" t="s">
        <v>66</v>
      </c>
      <c r="O344" s="10" t="s">
        <v>729</v>
      </c>
      <c r="P344" s="5" t="s">
        <v>4102</v>
      </c>
      <c r="Q344" s="5" t="s">
        <v>4102</v>
      </c>
      <c r="R344" s="5" t="s">
        <v>4103</v>
      </c>
      <c r="S344" s="5" t="s">
        <v>4104</v>
      </c>
      <c r="T344" s="5" t="s">
        <v>4105</v>
      </c>
      <c r="U344" s="5" t="s">
        <v>4106</v>
      </c>
      <c r="V344" s="5" t="s">
        <v>4107</v>
      </c>
      <c r="W344" s="5" t="s">
        <v>4108</v>
      </c>
      <c r="X344" s="5" t="s">
        <v>4109</v>
      </c>
      <c r="Y344" s="5" t="s">
        <v>4110</v>
      </c>
      <c r="Z344" s="5">
        <v>3.0</v>
      </c>
      <c r="AA344" s="5">
        <v>2026.0</v>
      </c>
      <c r="AB344" s="5" t="s">
        <v>34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61"/>
    <hyperlink r:id="rId58" ref="C62"/>
    <hyperlink r:id="rId59" ref="C63"/>
    <hyperlink r:id="rId60" ref="C66"/>
    <hyperlink r:id="rId61" ref="C70"/>
    <hyperlink r:id="rId62" ref="C73"/>
    <hyperlink r:id="rId63" ref="C74"/>
    <hyperlink r:id="rId64" ref="C77"/>
    <hyperlink r:id="rId65" ref="C79"/>
    <hyperlink r:id="rId66" ref="C82"/>
    <hyperlink r:id="rId67" ref="C85"/>
    <hyperlink r:id="rId68" ref="C87"/>
    <hyperlink r:id="rId69" ref="C89"/>
    <hyperlink r:id="rId70" ref="C90"/>
    <hyperlink r:id="rId71" ref="C91"/>
    <hyperlink r:id="rId72" ref="C92"/>
    <hyperlink r:id="rId73" ref="C93"/>
    <hyperlink r:id="rId74" ref="C96"/>
    <hyperlink r:id="rId75" ref="C99"/>
    <hyperlink r:id="rId76" ref="C100"/>
    <hyperlink r:id="rId77" ref="C101"/>
    <hyperlink r:id="rId78" ref="C102"/>
    <hyperlink r:id="rId79" ref="C106"/>
    <hyperlink r:id="rId80" ref="C107"/>
    <hyperlink r:id="rId81" ref="C109"/>
    <hyperlink r:id="rId82" ref="C110"/>
    <hyperlink r:id="rId83" ref="C111"/>
    <hyperlink r:id="rId84" ref="C113"/>
    <hyperlink r:id="rId85" ref="C115"/>
    <hyperlink r:id="rId86" ref="C116"/>
    <hyperlink r:id="rId87" ref="C117"/>
    <hyperlink r:id="rId88" ref="C119"/>
    <hyperlink r:id="rId89" ref="C120"/>
    <hyperlink r:id="rId90" ref="C121"/>
    <hyperlink r:id="rId91" ref="C122"/>
    <hyperlink r:id="rId92" ref="C127"/>
    <hyperlink r:id="rId93" ref="C129"/>
    <hyperlink r:id="rId94" ref="C130"/>
    <hyperlink r:id="rId95" ref="C131"/>
    <hyperlink r:id="rId96" ref="C133"/>
    <hyperlink r:id="rId97" ref="C136"/>
    <hyperlink r:id="rId98" ref="C141"/>
    <hyperlink r:id="rId99" ref="C143"/>
    <hyperlink r:id="rId100" ref="C146"/>
    <hyperlink r:id="rId101" ref="C147"/>
    <hyperlink r:id="rId102" ref="C148"/>
    <hyperlink r:id="rId103" ref="C149"/>
    <hyperlink r:id="rId104" ref="C150"/>
    <hyperlink r:id="rId105" ref="C151"/>
    <hyperlink r:id="rId106" ref="C154"/>
    <hyperlink r:id="rId107" ref="C155"/>
    <hyperlink r:id="rId108" ref="C156"/>
    <hyperlink r:id="rId109" ref="C161"/>
    <hyperlink r:id="rId110" ref="C164"/>
    <hyperlink r:id="rId111" ref="C166"/>
    <hyperlink r:id="rId112" ref="C167"/>
    <hyperlink r:id="rId113" ref="C168"/>
    <hyperlink r:id="rId114" ref="C169"/>
    <hyperlink r:id="rId115" ref="C170"/>
    <hyperlink r:id="rId116" ref="C176"/>
    <hyperlink r:id="rId117" ref="C177"/>
    <hyperlink r:id="rId118" ref="C179"/>
    <hyperlink r:id="rId119" ref="C180"/>
    <hyperlink r:id="rId120" ref="C182"/>
    <hyperlink r:id="rId121" ref="C183"/>
    <hyperlink r:id="rId122" ref="C184"/>
    <hyperlink r:id="rId123" ref="C185"/>
    <hyperlink r:id="rId124" ref="C187"/>
    <hyperlink r:id="rId125" ref="C188"/>
    <hyperlink r:id="rId126" ref="C189"/>
    <hyperlink r:id="rId127" ref="C190"/>
    <hyperlink r:id="rId128" ref="C191"/>
    <hyperlink r:id="rId129" ref="C192"/>
    <hyperlink r:id="rId130" ref="C193"/>
    <hyperlink r:id="rId131" ref="C194"/>
    <hyperlink r:id="rId132" ref="C195"/>
    <hyperlink r:id="rId133" ref="C196"/>
    <hyperlink r:id="rId134" ref="C197"/>
    <hyperlink r:id="rId135" ref="C198"/>
    <hyperlink r:id="rId136" ref="C199"/>
    <hyperlink r:id="rId137" ref="C200"/>
    <hyperlink r:id="rId138" ref="C201"/>
    <hyperlink r:id="rId139" ref="C202"/>
    <hyperlink r:id="rId140" ref="C204"/>
    <hyperlink r:id="rId141" ref="C205"/>
    <hyperlink r:id="rId142" ref="C207"/>
    <hyperlink r:id="rId143" ref="C209"/>
    <hyperlink r:id="rId144" ref="C210"/>
    <hyperlink r:id="rId145" ref="C211"/>
    <hyperlink r:id="rId146" ref="C212"/>
    <hyperlink r:id="rId147" ref="C213"/>
    <hyperlink r:id="rId148" ref="C214"/>
    <hyperlink r:id="rId149" ref="C215"/>
    <hyperlink r:id="rId150" ref="C217"/>
    <hyperlink r:id="rId151" ref="C218"/>
    <hyperlink r:id="rId152" ref="C219"/>
    <hyperlink r:id="rId153" ref="C220"/>
    <hyperlink r:id="rId154" ref="C221"/>
    <hyperlink r:id="rId155" ref="C223"/>
    <hyperlink r:id="rId156" ref="C225"/>
    <hyperlink r:id="rId157" ref="C227"/>
    <hyperlink r:id="rId158" ref="C229"/>
    <hyperlink r:id="rId159" ref="C230"/>
    <hyperlink r:id="rId160" ref="C233"/>
    <hyperlink r:id="rId161" ref="C238"/>
    <hyperlink r:id="rId162" ref="C243"/>
    <hyperlink r:id="rId163" ref="C244"/>
    <hyperlink r:id="rId164" ref="C246"/>
    <hyperlink r:id="rId165" ref="C248"/>
    <hyperlink r:id="rId166" ref="C249"/>
    <hyperlink r:id="rId167" ref="C255"/>
    <hyperlink r:id="rId168" ref="C258"/>
    <hyperlink r:id="rId169" ref="C263"/>
    <hyperlink r:id="rId170" ref="C266"/>
    <hyperlink r:id="rId171" ref="C268"/>
    <hyperlink r:id="rId172" ref="C269"/>
    <hyperlink r:id="rId173" ref="C270"/>
    <hyperlink r:id="rId174" ref="C276"/>
    <hyperlink r:id="rId175" ref="C277"/>
    <hyperlink r:id="rId176" ref="C279"/>
    <hyperlink r:id="rId177" ref="C280"/>
    <hyperlink r:id="rId178" ref="C281"/>
    <hyperlink r:id="rId179" ref="C282"/>
    <hyperlink r:id="rId180" ref="C283"/>
    <hyperlink r:id="rId181" ref="C286"/>
    <hyperlink r:id="rId182" ref="C287"/>
    <hyperlink r:id="rId183" ref="C288"/>
    <hyperlink r:id="rId184" ref="C292"/>
    <hyperlink r:id="rId185" ref="C293"/>
    <hyperlink r:id="rId186" ref="C294"/>
    <hyperlink r:id="rId187" ref="C296"/>
    <hyperlink r:id="rId188" ref="C297"/>
    <hyperlink r:id="rId189" ref="C307"/>
    <hyperlink r:id="rId190" ref="C308"/>
    <hyperlink r:id="rId191" ref="C312"/>
    <hyperlink r:id="rId192" ref="C317"/>
    <hyperlink r:id="rId193" ref="C318"/>
    <hyperlink r:id="rId194" ref="C322"/>
    <hyperlink r:id="rId195" ref="C323"/>
    <hyperlink r:id="rId196" ref="C332"/>
    <hyperlink r:id="rId197" ref="C337"/>
    <hyperlink r:id="rId198" ref="C338"/>
    <hyperlink r:id="rId199" ref="C339"/>
    <hyperlink r:id="rId200" ref="C341"/>
    <hyperlink r:id="rId201" ref="C343"/>
    <hyperlink r:id="rId202" ref="C344"/>
  </hyperlinks>
  <printOptions/>
  <pageMargins bottom="0.75" footer="0.0" header="0.0" left="0.7" right="0.7" top="0.75"/>
  <pageSetup orientation="landscape"/>
  <drawing r:id="rId20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3" width="10.0"/>
    <col customWidth="1" min="4" max="4" width="24.0"/>
    <col customWidth="1" min="5" max="6" width="36.0"/>
    <col customWidth="1" min="7" max="7" width="34.88"/>
    <col customWidth="1" min="8" max="8" width="35.25"/>
    <col customWidth="1" min="9" max="9" width="4.38"/>
    <col customWidth="1" min="10" max="10" width="28.0"/>
    <col customWidth="1" min="11" max="11" width="10.0"/>
    <col customWidth="1" min="12" max="12" width="13.0"/>
    <col customWidth="1" min="13" max="13" width="12.0"/>
    <col customWidth="1" min="14" max="28" width="8.63"/>
  </cols>
  <sheetData>
    <row r="1">
      <c r="A1" s="2" t="s">
        <v>4111</v>
      </c>
      <c r="B1" s="2" t="s">
        <v>4112</v>
      </c>
      <c r="C1" s="2" t="s">
        <v>4113</v>
      </c>
      <c r="D1" s="2" t="s">
        <v>1</v>
      </c>
      <c r="E1" s="1" t="s">
        <v>0</v>
      </c>
      <c r="F1" s="2" t="s">
        <v>3</v>
      </c>
      <c r="G1" s="2" t="s">
        <v>4114</v>
      </c>
      <c r="H1" s="2" t="s">
        <v>4115</v>
      </c>
      <c r="I1" s="2" t="s">
        <v>4116</v>
      </c>
      <c r="J1" s="2" t="s">
        <v>4117</v>
      </c>
      <c r="K1" s="2" t="s">
        <v>4118</v>
      </c>
      <c r="L1" s="2" t="s">
        <v>4119</v>
      </c>
      <c r="M1" s="2" t="s">
        <v>4120</v>
      </c>
    </row>
    <row r="2">
      <c r="A2" s="14">
        <v>46301.0</v>
      </c>
      <c r="B2" s="5" t="s">
        <v>4121</v>
      </c>
      <c r="C2" s="15">
        <v>0.8125</v>
      </c>
      <c r="D2" s="5" t="s">
        <v>28</v>
      </c>
      <c r="E2" s="16" t="str">
        <f t="array" ref="E2">_xlfn.XLOOKUP(F2, Filmes!$D$2:$D$344, Filmes!$A$2:$A$344, "")</f>
        <v>001</v>
      </c>
      <c r="F2" s="7" t="s">
        <v>30</v>
      </c>
      <c r="G2" s="17" t="s">
        <v>4122</v>
      </c>
      <c r="H2" s="17" t="s">
        <v>4123</v>
      </c>
      <c r="I2" s="18"/>
      <c r="J2" s="5"/>
      <c r="K2" s="5"/>
      <c r="L2" s="5"/>
      <c r="M2" s="5"/>
    </row>
    <row r="3">
      <c r="A3" s="14">
        <v>46303.0</v>
      </c>
      <c r="B3" s="5" t="s">
        <v>4124</v>
      </c>
      <c r="C3" s="15">
        <v>0.5833333333333334</v>
      </c>
      <c r="D3" s="5" t="s">
        <v>28</v>
      </c>
      <c r="E3" s="16" t="str">
        <f t="array" ref="E3">_xlfn.XLOOKUP(F3, Filmes!$D$2:$D$344, Filmes!$A$2:$A$344, "")</f>
        <v>001</v>
      </c>
      <c r="F3" s="7" t="s">
        <v>30</v>
      </c>
      <c r="G3" s="17" t="s">
        <v>4125</v>
      </c>
      <c r="H3" s="17" t="s">
        <v>4126</v>
      </c>
      <c r="I3" s="19">
        <v>2.0</v>
      </c>
      <c r="J3" s="5"/>
      <c r="K3" s="5"/>
      <c r="L3" s="5"/>
      <c r="M3" s="5"/>
    </row>
    <row r="4">
      <c r="A4" s="14">
        <v>46305.0</v>
      </c>
      <c r="B4" s="5" t="s">
        <v>4127</v>
      </c>
      <c r="C4" s="15">
        <v>0.90625</v>
      </c>
      <c r="D4" s="5" t="s">
        <v>28</v>
      </c>
      <c r="E4" s="16" t="str">
        <f t="array" ref="E4">_xlfn.XLOOKUP(F4, Filmes!$D$2:$D$344, Filmes!$A$2:$A$344, "")</f>
        <v>001</v>
      </c>
      <c r="F4" s="7" t="s">
        <v>30</v>
      </c>
      <c r="G4" s="17" t="s">
        <v>4128</v>
      </c>
      <c r="H4" s="17" t="s">
        <v>4129</v>
      </c>
      <c r="I4" s="19">
        <v>5.0</v>
      </c>
      <c r="J4" s="5"/>
      <c r="K4" s="5"/>
      <c r="L4" s="5"/>
      <c r="M4" s="5"/>
    </row>
    <row r="5">
      <c r="A5" s="14">
        <v>46296.0</v>
      </c>
      <c r="B5" s="5" t="s">
        <v>4124</v>
      </c>
      <c r="C5" s="15">
        <v>0.6875</v>
      </c>
      <c r="D5" s="5" t="s">
        <v>28</v>
      </c>
      <c r="E5" s="16" t="str">
        <f t="array" ref="E5">_xlfn.XLOOKUP(F5, Filmes!$D$2:$D$344, Filmes!$A$2:$A$344, "")</f>
        <v>002</v>
      </c>
      <c r="F5" s="7" t="s">
        <v>47</v>
      </c>
      <c r="G5" s="17" t="s">
        <v>4130</v>
      </c>
      <c r="H5" s="17" t="s">
        <v>4131</v>
      </c>
      <c r="I5" s="19">
        <v>1.0</v>
      </c>
      <c r="J5" s="5"/>
      <c r="K5" s="5"/>
      <c r="L5" s="5"/>
      <c r="M5" s="5"/>
    </row>
    <row r="6">
      <c r="A6" s="14">
        <v>46300.0</v>
      </c>
      <c r="B6" s="5" t="s">
        <v>4132</v>
      </c>
      <c r="C6" s="15">
        <v>0.8333333333333334</v>
      </c>
      <c r="D6" s="5" t="s">
        <v>28</v>
      </c>
      <c r="E6" s="16" t="str">
        <f t="array" ref="E6">_xlfn.XLOOKUP(F6, Filmes!$D$2:$D$344, Filmes!$A$2:$A$344, "")</f>
        <v>002</v>
      </c>
      <c r="F6" s="7" t="s">
        <v>47</v>
      </c>
      <c r="G6" s="17" t="s">
        <v>4133</v>
      </c>
      <c r="H6" s="17" t="s">
        <v>4134</v>
      </c>
      <c r="I6" s="19">
        <v>1.0</v>
      </c>
      <c r="J6" s="5"/>
      <c r="K6" s="5"/>
      <c r="L6" s="5"/>
      <c r="M6" s="5"/>
    </row>
    <row r="7">
      <c r="A7" s="14">
        <v>46305.0</v>
      </c>
      <c r="B7" s="5" t="s">
        <v>4127</v>
      </c>
      <c r="C7" s="15">
        <v>0.5833333333333334</v>
      </c>
      <c r="D7" s="5" t="s">
        <v>28</v>
      </c>
      <c r="E7" s="16" t="str">
        <f t="array" ref="E7">_xlfn.XLOOKUP(F7, Filmes!$D$2:$D$344, Filmes!$A$2:$A$344, "")</f>
        <v>002</v>
      </c>
      <c r="F7" s="7" t="s">
        <v>47</v>
      </c>
      <c r="G7" s="17" t="s">
        <v>4128</v>
      </c>
      <c r="H7" s="17" t="s">
        <v>4129</v>
      </c>
      <c r="I7" s="19">
        <v>1.0</v>
      </c>
      <c r="J7" s="5"/>
      <c r="K7" s="5"/>
      <c r="L7" s="5"/>
      <c r="M7" s="5"/>
    </row>
    <row r="8">
      <c r="A8" s="14">
        <v>46297.0</v>
      </c>
      <c r="B8" s="5" t="s">
        <v>4135</v>
      </c>
      <c r="C8" s="15">
        <v>0.59375</v>
      </c>
      <c r="D8" s="5" t="s">
        <v>28</v>
      </c>
      <c r="E8" s="16" t="str">
        <f t="array" ref="E8">_xlfn.XLOOKUP(F8, Filmes!$D$2:$D$344, Filmes!$A$2:$A$344, "")</f>
        <v>003</v>
      </c>
      <c r="F8" s="7" t="s">
        <v>62</v>
      </c>
      <c r="G8" s="17" t="s">
        <v>4130</v>
      </c>
      <c r="H8" s="17" t="s">
        <v>4131</v>
      </c>
      <c r="I8" s="19">
        <v>6.0</v>
      </c>
      <c r="J8" s="5"/>
      <c r="K8" s="5"/>
      <c r="L8" s="5"/>
      <c r="M8" s="5"/>
    </row>
    <row r="9">
      <c r="A9" s="14">
        <v>46299.0</v>
      </c>
      <c r="B9" s="5" t="s">
        <v>4136</v>
      </c>
      <c r="C9" s="15">
        <v>0.7916666666666666</v>
      </c>
      <c r="D9" s="5" t="s">
        <v>28</v>
      </c>
      <c r="E9" s="16" t="str">
        <f t="array" ref="E9">_xlfn.XLOOKUP(F9, Filmes!$D$2:$D$344, Filmes!$A$2:$A$344, "")</f>
        <v>003</v>
      </c>
      <c r="F9" s="7" t="s">
        <v>62</v>
      </c>
      <c r="G9" s="17" t="s">
        <v>4137</v>
      </c>
      <c r="H9" s="17" t="s">
        <v>4138</v>
      </c>
      <c r="I9" s="19">
        <v>1.0</v>
      </c>
      <c r="J9" s="5"/>
      <c r="K9" s="5"/>
      <c r="L9" s="5"/>
      <c r="M9" s="5"/>
    </row>
    <row r="10">
      <c r="A10" s="14">
        <v>46300.0</v>
      </c>
      <c r="B10" s="5" t="s">
        <v>4132</v>
      </c>
      <c r="C10" s="15">
        <v>0.7083333333333334</v>
      </c>
      <c r="D10" s="5" t="s">
        <v>28</v>
      </c>
      <c r="E10" s="16" t="str">
        <f t="array" ref="E10">_xlfn.XLOOKUP(F10, Filmes!$D$2:$D$344, Filmes!$A$2:$A$344, "")</f>
        <v>003</v>
      </c>
      <c r="F10" s="7" t="s">
        <v>62</v>
      </c>
      <c r="G10" s="17" t="s">
        <v>4128</v>
      </c>
      <c r="H10" s="17" t="s">
        <v>4129</v>
      </c>
      <c r="I10" s="19">
        <v>5.0</v>
      </c>
      <c r="J10" s="5"/>
      <c r="K10" s="5"/>
      <c r="L10" s="5"/>
      <c r="M10" s="5"/>
    </row>
    <row r="11">
      <c r="A11" s="14">
        <v>46305.0</v>
      </c>
      <c r="B11" s="5" t="s">
        <v>4127</v>
      </c>
      <c r="C11" s="15">
        <v>0.6666666666666666</v>
      </c>
      <c r="D11" s="5" t="s">
        <v>28</v>
      </c>
      <c r="E11" s="16" t="str">
        <f t="array" ref="E11">_xlfn.XLOOKUP(F11, Filmes!$D$2:$D$344, Filmes!$A$2:$A$344, "")</f>
        <v>004</v>
      </c>
      <c r="F11" s="7" t="s">
        <v>80</v>
      </c>
      <c r="G11" s="17" t="s">
        <v>4130</v>
      </c>
      <c r="H11" s="17" t="s">
        <v>4131</v>
      </c>
      <c r="I11" s="19">
        <v>6.0</v>
      </c>
      <c r="J11" s="10"/>
      <c r="K11" s="5"/>
      <c r="L11" s="5" t="s">
        <v>65</v>
      </c>
      <c r="M11" s="5" t="s">
        <v>65</v>
      </c>
    </row>
    <row r="12">
      <c r="A12" s="14">
        <v>46308.0</v>
      </c>
      <c r="B12" s="5" t="s">
        <v>4121</v>
      </c>
      <c r="C12" s="15">
        <v>0.5833333333333334</v>
      </c>
      <c r="D12" s="5" t="s">
        <v>28</v>
      </c>
      <c r="E12" s="16" t="str">
        <f t="array" ref="E12">_xlfn.XLOOKUP(F12, Filmes!$D$2:$D$344, Filmes!$A$2:$A$344, "")</f>
        <v>004</v>
      </c>
      <c r="F12" s="7" t="s">
        <v>80</v>
      </c>
      <c r="G12" s="17" t="s">
        <v>4139</v>
      </c>
      <c r="H12" s="17" t="s">
        <v>4140</v>
      </c>
      <c r="I12" s="19">
        <v>3.0</v>
      </c>
      <c r="J12" s="5"/>
      <c r="K12" s="5"/>
      <c r="L12" s="5"/>
      <c r="M12" s="5"/>
    </row>
    <row r="13">
      <c r="A13" s="14">
        <v>46297.0</v>
      </c>
      <c r="B13" s="5" t="s">
        <v>4135</v>
      </c>
      <c r="C13" s="15">
        <v>0.8854166666666666</v>
      </c>
      <c r="D13" s="5" t="s">
        <v>28</v>
      </c>
      <c r="E13" s="16" t="str">
        <f t="array" ref="E13">_xlfn.XLOOKUP(F13, Filmes!$D$2:$D$344, Filmes!$A$2:$A$344, "")</f>
        <v>005</v>
      </c>
      <c r="F13" s="7" t="s">
        <v>96</v>
      </c>
      <c r="G13" s="17" t="s">
        <v>4137</v>
      </c>
      <c r="H13" s="17" t="s">
        <v>4138</v>
      </c>
      <c r="I13" s="19">
        <v>1.0</v>
      </c>
      <c r="J13" s="5"/>
      <c r="K13" s="5"/>
      <c r="L13" s="5"/>
      <c r="M13" s="5"/>
    </row>
    <row r="14">
      <c r="A14" s="14">
        <v>46298.0</v>
      </c>
      <c r="B14" s="5" t="s">
        <v>4127</v>
      </c>
      <c r="C14" s="15">
        <v>0.6666666666666666</v>
      </c>
      <c r="D14" s="5" t="s">
        <v>28</v>
      </c>
      <c r="E14" s="16" t="str">
        <f t="array" ref="E14">_xlfn.XLOOKUP(F14, Filmes!$D$2:$D$344, Filmes!$A$2:$A$344, "")</f>
        <v>005</v>
      </c>
      <c r="F14" s="7" t="s">
        <v>96</v>
      </c>
      <c r="G14" s="17" t="s">
        <v>4141</v>
      </c>
      <c r="H14" s="17" t="s">
        <v>4142</v>
      </c>
      <c r="I14" s="18"/>
      <c r="J14" s="5"/>
      <c r="K14" s="5"/>
      <c r="L14" s="5"/>
      <c r="M14" s="5"/>
    </row>
    <row r="15">
      <c r="A15" s="14">
        <v>46300.0</v>
      </c>
      <c r="B15" s="5" t="s">
        <v>4132</v>
      </c>
      <c r="C15" s="15">
        <v>0.59375</v>
      </c>
      <c r="D15" s="5" t="s">
        <v>28</v>
      </c>
      <c r="E15" s="16" t="str">
        <f t="array" ref="E15">_xlfn.XLOOKUP(F15, Filmes!$D$2:$D$344, Filmes!$A$2:$A$344, "")</f>
        <v>005</v>
      </c>
      <c r="F15" s="7" t="s">
        <v>96</v>
      </c>
      <c r="G15" s="17" t="s">
        <v>4130</v>
      </c>
      <c r="H15" s="17" t="s">
        <v>4131</v>
      </c>
      <c r="I15" s="19">
        <v>6.0</v>
      </c>
      <c r="J15" s="5"/>
      <c r="K15" s="5"/>
      <c r="L15" s="5"/>
      <c r="M15" s="5"/>
    </row>
    <row r="16">
      <c r="A16" s="14">
        <v>46304.0</v>
      </c>
      <c r="B16" s="5" t="s">
        <v>4135</v>
      </c>
      <c r="C16" s="15">
        <v>0.7916666666666666</v>
      </c>
      <c r="D16" s="5" t="s">
        <v>28</v>
      </c>
      <c r="E16" s="16" t="str">
        <f t="array" ref="E16">_xlfn.XLOOKUP(F16, Filmes!$D$2:$D$344, Filmes!$A$2:$A$344, "")</f>
        <v>005</v>
      </c>
      <c r="F16" s="7" t="s">
        <v>96</v>
      </c>
      <c r="G16" s="17" t="s">
        <v>4125</v>
      </c>
      <c r="H16" s="17" t="s">
        <v>4126</v>
      </c>
      <c r="I16" s="19">
        <v>2.0</v>
      </c>
      <c r="J16" s="5"/>
      <c r="K16" s="5"/>
      <c r="L16" s="5"/>
      <c r="M16" s="5"/>
    </row>
    <row r="17">
      <c r="A17" s="14">
        <v>46307.0</v>
      </c>
      <c r="B17" s="5" t="s">
        <v>4132</v>
      </c>
      <c r="C17" s="15">
        <v>0.6979166666666666</v>
      </c>
      <c r="D17" s="5" t="s">
        <v>28</v>
      </c>
      <c r="E17" s="16" t="str">
        <f t="array" ref="E17">_xlfn.XLOOKUP(F17, Filmes!$D$2:$D$344, Filmes!$A$2:$A$344, "")</f>
        <v>005</v>
      </c>
      <c r="F17" s="7" t="s">
        <v>96</v>
      </c>
      <c r="G17" s="17" t="s">
        <v>4128</v>
      </c>
      <c r="H17" s="17" t="s">
        <v>4129</v>
      </c>
      <c r="I17" s="19">
        <v>5.0</v>
      </c>
      <c r="J17" s="5"/>
      <c r="K17" s="5"/>
      <c r="L17" s="5"/>
      <c r="M17" s="5"/>
    </row>
    <row r="18">
      <c r="A18" s="14">
        <v>46303.0</v>
      </c>
      <c r="B18" s="5" t="s">
        <v>4124</v>
      </c>
      <c r="C18" s="15">
        <v>0.7916666666666666</v>
      </c>
      <c r="D18" s="5" t="s">
        <v>28</v>
      </c>
      <c r="E18" s="16" t="str">
        <f t="array" ref="E18">_xlfn.XLOOKUP(F18, Filmes!$D$2:$D$344, Filmes!$A$2:$A$344, "")</f>
        <v>006</v>
      </c>
      <c r="F18" s="7" t="s">
        <v>110</v>
      </c>
      <c r="G18" s="17" t="s">
        <v>4130</v>
      </c>
      <c r="H18" s="17" t="s">
        <v>4131</v>
      </c>
      <c r="I18" s="19">
        <v>4.0</v>
      </c>
      <c r="J18" s="5"/>
      <c r="K18" s="5"/>
      <c r="L18" s="5"/>
      <c r="M18" s="5"/>
    </row>
    <row r="19">
      <c r="A19" s="14">
        <v>46304.0</v>
      </c>
      <c r="B19" s="5" t="s">
        <v>4135</v>
      </c>
      <c r="C19" s="15">
        <v>0.59375</v>
      </c>
      <c r="D19" s="5" t="s">
        <v>28</v>
      </c>
      <c r="E19" s="16" t="str">
        <f t="array" ref="E19">_xlfn.XLOOKUP(F19, Filmes!$D$2:$D$344, Filmes!$A$2:$A$344, "")</f>
        <v>006</v>
      </c>
      <c r="F19" s="7" t="s">
        <v>110</v>
      </c>
      <c r="G19" s="17" t="s">
        <v>4139</v>
      </c>
      <c r="H19" s="17" t="s">
        <v>4140</v>
      </c>
      <c r="I19" s="19">
        <v>4.0</v>
      </c>
      <c r="J19" s="5"/>
      <c r="K19" s="5"/>
      <c r="L19" s="5"/>
      <c r="M19" s="5"/>
    </row>
    <row r="20">
      <c r="A20" s="14">
        <v>46308.0</v>
      </c>
      <c r="B20" s="5" t="s">
        <v>4121</v>
      </c>
      <c r="C20" s="15">
        <v>0.90625</v>
      </c>
      <c r="D20" s="5" t="s">
        <v>28</v>
      </c>
      <c r="E20" s="16" t="str">
        <f t="array" ref="E20">_xlfn.XLOOKUP(F20, Filmes!$D$2:$D$344, Filmes!$A$2:$A$344, "")</f>
        <v>006</v>
      </c>
      <c r="F20" s="7" t="s">
        <v>110</v>
      </c>
      <c r="G20" s="17" t="s">
        <v>4128</v>
      </c>
      <c r="H20" s="17" t="s">
        <v>4129</v>
      </c>
      <c r="I20" s="19">
        <v>5.0</v>
      </c>
      <c r="J20" s="5"/>
      <c r="K20" s="5"/>
      <c r="L20" s="5"/>
      <c r="M20" s="5"/>
    </row>
    <row r="21" ht="15.75" customHeight="1">
      <c r="A21" s="14">
        <v>46298.0</v>
      </c>
      <c r="B21" s="5" t="s">
        <v>4127</v>
      </c>
      <c r="C21" s="15">
        <v>0.8958333333333334</v>
      </c>
      <c r="D21" s="5" t="s">
        <v>28</v>
      </c>
      <c r="E21" s="16" t="str">
        <f t="array" ref="E21">_xlfn.XLOOKUP(F21, Filmes!$D$2:$D$344, Filmes!$A$2:$A$344, "")</f>
        <v>007</v>
      </c>
      <c r="F21" s="7" t="s">
        <v>124</v>
      </c>
      <c r="G21" s="17" t="s">
        <v>4130</v>
      </c>
      <c r="H21" s="17" t="s">
        <v>4131</v>
      </c>
      <c r="I21" s="19">
        <v>6.0</v>
      </c>
      <c r="J21" s="5"/>
      <c r="K21" s="5"/>
      <c r="L21" s="5"/>
      <c r="M21" s="5"/>
    </row>
    <row r="22" ht="15.75" customHeight="1">
      <c r="A22" s="14">
        <v>46302.0</v>
      </c>
      <c r="B22" s="5" t="s">
        <v>4143</v>
      </c>
      <c r="C22" s="15">
        <v>0.6979166666666666</v>
      </c>
      <c r="D22" s="5" t="s">
        <v>28</v>
      </c>
      <c r="E22" s="16" t="str">
        <f t="array" ref="E22">_xlfn.XLOOKUP(F22, Filmes!$D$2:$D$344, Filmes!$A$2:$A$344, "")</f>
        <v>007</v>
      </c>
      <c r="F22" s="7" t="s">
        <v>124</v>
      </c>
      <c r="G22" s="17" t="s">
        <v>4128</v>
      </c>
      <c r="H22" s="17" t="s">
        <v>4129</v>
      </c>
      <c r="I22" s="19">
        <v>5.0</v>
      </c>
      <c r="J22" s="5"/>
      <c r="K22" s="5"/>
      <c r="L22" s="5"/>
      <c r="M22" s="5"/>
    </row>
    <row r="23" ht="15.75" customHeight="1">
      <c r="A23" s="14">
        <v>46305.0</v>
      </c>
      <c r="B23" s="5" t="s">
        <v>4127</v>
      </c>
      <c r="C23" s="15">
        <v>0.7916666666666666</v>
      </c>
      <c r="D23" s="5" t="s">
        <v>28</v>
      </c>
      <c r="E23" s="16" t="str">
        <f t="array" ref="E23">_xlfn.XLOOKUP(F23, Filmes!$D$2:$D$344, Filmes!$A$2:$A$344, "")</f>
        <v>007</v>
      </c>
      <c r="F23" s="7" t="s">
        <v>124</v>
      </c>
      <c r="G23" s="17" t="s">
        <v>4125</v>
      </c>
      <c r="H23" s="17" t="s">
        <v>4126</v>
      </c>
      <c r="I23" s="19">
        <v>2.0</v>
      </c>
      <c r="J23" s="5"/>
      <c r="K23" s="5"/>
      <c r="L23" s="5"/>
      <c r="M23" s="5"/>
    </row>
    <row r="24" ht="15.75" customHeight="1">
      <c r="A24" s="14">
        <v>46297.0</v>
      </c>
      <c r="B24" s="5" t="s">
        <v>4135</v>
      </c>
      <c r="C24" s="15">
        <v>0.8020833333333334</v>
      </c>
      <c r="D24" s="5" t="s">
        <v>28</v>
      </c>
      <c r="E24" s="16" t="str">
        <f t="array" ref="E24">_xlfn.XLOOKUP(F24, Filmes!$D$2:$D$344, Filmes!$A$2:$A$344, "")</f>
        <v>008</v>
      </c>
      <c r="F24" s="7" t="s">
        <v>142</v>
      </c>
      <c r="G24" s="17" t="s">
        <v>4130</v>
      </c>
      <c r="H24" s="17" t="s">
        <v>4131</v>
      </c>
      <c r="I24" s="19">
        <v>6.0</v>
      </c>
      <c r="J24" s="5" t="s">
        <v>4144</v>
      </c>
      <c r="K24" s="5"/>
      <c r="L24" s="5"/>
      <c r="M24" s="5"/>
    </row>
    <row r="25" ht="15.75" customHeight="1">
      <c r="A25" s="14">
        <v>46300.0</v>
      </c>
      <c r="B25" s="5" t="s">
        <v>4132</v>
      </c>
      <c r="C25" s="15">
        <v>0.5833333333333334</v>
      </c>
      <c r="D25" s="5" t="s">
        <v>28</v>
      </c>
      <c r="E25" s="16" t="str">
        <f t="array" ref="E25">_xlfn.XLOOKUP(F25, Filmes!$D$2:$D$344, Filmes!$A$2:$A$344, "")</f>
        <v>008</v>
      </c>
      <c r="F25" s="7" t="s">
        <v>142</v>
      </c>
      <c r="G25" s="17" t="s">
        <v>4139</v>
      </c>
      <c r="H25" s="17" t="s">
        <v>4140</v>
      </c>
      <c r="I25" s="19">
        <v>5.0</v>
      </c>
      <c r="J25" s="5"/>
      <c r="K25" s="5"/>
      <c r="L25" s="5"/>
      <c r="M25" s="5"/>
    </row>
    <row r="26" ht="15.75" customHeight="1">
      <c r="A26" s="14">
        <v>46302.0</v>
      </c>
      <c r="B26" s="5" t="s">
        <v>4143</v>
      </c>
      <c r="C26" s="15">
        <v>0.8854166666666666</v>
      </c>
      <c r="D26" s="5" t="s">
        <v>28</v>
      </c>
      <c r="E26" s="16" t="str">
        <f t="array" ref="E26">_xlfn.XLOOKUP(F26, Filmes!$D$2:$D$344, Filmes!$A$2:$A$344, "")</f>
        <v>008</v>
      </c>
      <c r="F26" s="7" t="s">
        <v>142</v>
      </c>
      <c r="G26" s="17" t="s">
        <v>4137</v>
      </c>
      <c r="H26" s="17" t="s">
        <v>4138</v>
      </c>
      <c r="I26" s="19">
        <v>1.0</v>
      </c>
      <c r="J26" s="5"/>
      <c r="K26" s="5"/>
      <c r="L26" s="5"/>
      <c r="M26" s="5"/>
    </row>
    <row r="27" ht="15.75" customHeight="1">
      <c r="A27" s="14">
        <v>46304.0</v>
      </c>
      <c r="B27" s="5" t="s">
        <v>4135</v>
      </c>
      <c r="C27" s="15">
        <v>0.6875</v>
      </c>
      <c r="D27" s="5" t="s">
        <v>28</v>
      </c>
      <c r="E27" s="16" t="str">
        <f t="array" ref="E27">_xlfn.XLOOKUP(F27, Filmes!$D$2:$D$344, Filmes!$A$2:$A$344, "")</f>
        <v>008</v>
      </c>
      <c r="F27" s="7" t="s">
        <v>142</v>
      </c>
      <c r="G27" s="17" t="s">
        <v>4125</v>
      </c>
      <c r="H27" s="17" t="s">
        <v>4126</v>
      </c>
      <c r="I27" s="19">
        <v>2.0</v>
      </c>
      <c r="J27" s="5"/>
      <c r="K27" s="5"/>
      <c r="L27" s="5"/>
      <c r="M27" s="5"/>
    </row>
    <row r="28" ht="15.75" customHeight="1">
      <c r="A28" s="14">
        <v>46308.0</v>
      </c>
      <c r="B28" s="5" t="s">
        <v>4121</v>
      </c>
      <c r="C28" s="15">
        <v>0.8020833333333334</v>
      </c>
      <c r="D28" s="5" t="s">
        <v>28</v>
      </c>
      <c r="E28" s="16" t="str">
        <f t="array" ref="E28">_xlfn.XLOOKUP(F28, Filmes!$D$2:$D$344, Filmes!$A$2:$A$344, "")</f>
        <v>008</v>
      </c>
      <c r="F28" s="7" t="s">
        <v>142</v>
      </c>
      <c r="G28" s="17" t="s">
        <v>4128</v>
      </c>
      <c r="H28" s="17" t="s">
        <v>4129</v>
      </c>
      <c r="I28" s="19">
        <v>5.0</v>
      </c>
      <c r="J28" s="5"/>
      <c r="K28" s="5"/>
      <c r="L28" s="5"/>
      <c r="M28" s="5"/>
    </row>
    <row r="29" ht="15.75" customHeight="1">
      <c r="A29" s="14">
        <v>46296.0</v>
      </c>
      <c r="B29" s="5" t="s">
        <v>4124</v>
      </c>
      <c r="C29" s="15">
        <v>0.90625</v>
      </c>
      <c r="D29" s="5" t="s">
        <v>28</v>
      </c>
      <c r="E29" s="16" t="str">
        <f t="array" ref="E29">_xlfn.XLOOKUP(F29, Filmes!$D$2:$D$344, Filmes!$A$2:$A$344, "")</f>
        <v>009</v>
      </c>
      <c r="F29" s="7" t="s">
        <v>157</v>
      </c>
      <c r="G29" s="17" t="s">
        <v>4128</v>
      </c>
      <c r="H29" s="17" t="s">
        <v>4129</v>
      </c>
      <c r="I29" s="19">
        <v>5.0</v>
      </c>
      <c r="J29" s="5"/>
      <c r="K29" s="5"/>
      <c r="L29" s="5"/>
      <c r="M29" s="5"/>
    </row>
    <row r="30" ht="15.75" customHeight="1">
      <c r="A30" s="14">
        <v>46301.0</v>
      </c>
      <c r="B30" s="5" t="s">
        <v>4121</v>
      </c>
      <c r="C30" s="15">
        <v>0.5833333333333334</v>
      </c>
      <c r="D30" s="5" t="s">
        <v>28</v>
      </c>
      <c r="E30" s="16" t="str">
        <f t="array" ref="E30">_xlfn.XLOOKUP(F30, Filmes!$D$2:$D$344, Filmes!$A$2:$A$344, "")</f>
        <v>009</v>
      </c>
      <c r="F30" s="7" t="s">
        <v>157</v>
      </c>
      <c r="G30" s="17" t="s">
        <v>4125</v>
      </c>
      <c r="H30" s="17" t="s">
        <v>4126</v>
      </c>
      <c r="I30" s="19">
        <v>2.0</v>
      </c>
      <c r="J30" s="5"/>
      <c r="K30" s="5"/>
      <c r="L30" s="5"/>
      <c r="M30" s="5"/>
    </row>
    <row r="31" ht="15.75" customHeight="1">
      <c r="A31" s="14">
        <v>46304.0</v>
      </c>
      <c r="B31" s="5" t="s">
        <v>4135</v>
      </c>
      <c r="C31" s="15">
        <v>0.6979166666666666</v>
      </c>
      <c r="D31" s="5" t="s">
        <v>28</v>
      </c>
      <c r="E31" s="16" t="str">
        <f t="array" ref="E31">_xlfn.XLOOKUP(F31, Filmes!$D$2:$D$344, Filmes!$A$2:$A$344, "")</f>
        <v>009</v>
      </c>
      <c r="F31" s="7" t="s">
        <v>157</v>
      </c>
      <c r="G31" s="17" t="s">
        <v>4130</v>
      </c>
      <c r="H31" s="17" t="s">
        <v>4131</v>
      </c>
      <c r="I31" s="19">
        <v>6.0</v>
      </c>
      <c r="J31" s="5"/>
      <c r="K31" s="5"/>
      <c r="L31" s="5"/>
      <c r="M31" s="5"/>
    </row>
    <row r="32" ht="15.75" customHeight="1">
      <c r="A32" s="14">
        <v>46297.0</v>
      </c>
      <c r="B32" s="5" t="s">
        <v>4135</v>
      </c>
      <c r="C32" s="15">
        <v>0.7916666666666666</v>
      </c>
      <c r="D32" s="5" t="s">
        <v>28</v>
      </c>
      <c r="E32" s="16" t="str">
        <f t="array" ref="E32">_xlfn.XLOOKUP(F32, Filmes!$D$2:$D$344, Filmes!$A$2:$A$344, "")</f>
        <v>010</v>
      </c>
      <c r="F32" s="7" t="s">
        <v>171</v>
      </c>
      <c r="G32" s="17" t="s">
        <v>4122</v>
      </c>
      <c r="H32" s="17" t="s">
        <v>4123</v>
      </c>
      <c r="I32" s="18"/>
      <c r="J32" s="5"/>
      <c r="K32" s="5"/>
      <c r="L32" s="5" t="s">
        <v>65</v>
      </c>
      <c r="M32" s="5"/>
    </row>
    <row r="33" ht="15.75" customHeight="1">
      <c r="A33" s="14">
        <v>46298.0</v>
      </c>
      <c r="B33" s="5" t="s">
        <v>4127</v>
      </c>
      <c r="C33" s="15">
        <v>0.7708333333333334</v>
      </c>
      <c r="D33" s="5" t="s">
        <v>28</v>
      </c>
      <c r="E33" s="16" t="str">
        <f t="array" ref="E33">_xlfn.XLOOKUP(F33, Filmes!$D$2:$D$344, Filmes!$A$2:$A$344, "")</f>
        <v>010</v>
      </c>
      <c r="F33" s="7" t="s">
        <v>171</v>
      </c>
      <c r="G33" s="17" t="s">
        <v>4137</v>
      </c>
      <c r="H33" s="17" t="s">
        <v>4138</v>
      </c>
      <c r="I33" s="19">
        <v>1.0</v>
      </c>
      <c r="J33" s="5"/>
      <c r="K33" s="5"/>
      <c r="L33" s="5" t="s">
        <v>65</v>
      </c>
      <c r="M33" s="5"/>
    </row>
    <row r="34" ht="15.75" customHeight="1">
      <c r="A34" s="14">
        <v>46299.0</v>
      </c>
      <c r="B34" s="5" t="s">
        <v>4136</v>
      </c>
      <c r="C34" s="15">
        <v>0.8854166666666666</v>
      </c>
      <c r="D34" s="5" t="s">
        <v>28</v>
      </c>
      <c r="E34" s="16" t="str">
        <f t="array" ref="E34">_xlfn.XLOOKUP(F34, Filmes!$D$2:$D$344, Filmes!$A$2:$A$344, "")</f>
        <v>010</v>
      </c>
      <c r="F34" s="7" t="s">
        <v>171</v>
      </c>
      <c r="G34" s="17" t="s">
        <v>4125</v>
      </c>
      <c r="H34" s="17" t="s">
        <v>4126</v>
      </c>
      <c r="I34" s="19">
        <v>2.0</v>
      </c>
      <c r="J34" s="5"/>
      <c r="K34" s="5"/>
      <c r="L34" s="5"/>
      <c r="M34" s="5"/>
    </row>
    <row r="35" ht="15.75" customHeight="1">
      <c r="A35" s="14">
        <v>46301.0</v>
      </c>
      <c r="B35" s="5" t="s">
        <v>4121</v>
      </c>
      <c r="C35" s="15">
        <v>0.6666666666666666</v>
      </c>
      <c r="D35" s="5" t="s">
        <v>28</v>
      </c>
      <c r="E35" s="16" t="str">
        <f t="array" ref="E35">_xlfn.XLOOKUP(F35, Filmes!$D$2:$D$344, Filmes!$A$2:$A$344, "")</f>
        <v>010</v>
      </c>
      <c r="F35" s="7" t="s">
        <v>171</v>
      </c>
      <c r="G35" s="17" t="s">
        <v>4128</v>
      </c>
      <c r="H35" s="17" t="s">
        <v>4129</v>
      </c>
      <c r="I35" s="19">
        <v>3.0</v>
      </c>
      <c r="J35" s="5"/>
      <c r="K35" s="5"/>
      <c r="L35" s="5"/>
      <c r="M35" s="5"/>
    </row>
    <row r="36" ht="15.75" customHeight="1">
      <c r="A36" s="14">
        <v>46296.0</v>
      </c>
      <c r="B36" s="5" t="s">
        <v>4124</v>
      </c>
      <c r="C36" s="15">
        <v>0.7916666666666666</v>
      </c>
      <c r="D36" s="5" t="s">
        <v>28</v>
      </c>
      <c r="E36" s="16" t="str">
        <f t="array" ref="E36">_xlfn.XLOOKUP(F36, Filmes!$D$2:$D$344, Filmes!$A$2:$A$344, "")</f>
        <v>011</v>
      </c>
      <c r="F36" s="7" t="s">
        <v>185</v>
      </c>
      <c r="G36" s="17" t="s">
        <v>4139</v>
      </c>
      <c r="H36" s="17" t="s">
        <v>4140</v>
      </c>
      <c r="I36" s="19">
        <v>5.0</v>
      </c>
      <c r="J36" s="5"/>
      <c r="K36" s="5"/>
      <c r="L36" s="5"/>
      <c r="M36" s="5"/>
    </row>
    <row r="37" ht="15.75" customHeight="1">
      <c r="A37" s="14">
        <v>46297.0</v>
      </c>
      <c r="B37" s="5" t="s">
        <v>4135</v>
      </c>
      <c r="C37" s="15">
        <v>0.6979166666666666</v>
      </c>
      <c r="D37" s="5" t="s">
        <v>28</v>
      </c>
      <c r="E37" s="16" t="str">
        <f t="array" ref="E37">_xlfn.XLOOKUP(F37, Filmes!$D$2:$D$344, Filmes!$A$2:$A$344, "")</f>
        <v>011</v>
      </c>
      <c r="F37" s="7" t="s">
        <v>185</v>
      </c>
      <c r="G37" s="17" t="s">
        <v>4130</v>
      </c>
      <c r="H37" s="17" t="s">
        <v>4131</v>
      </c>
      <c r="I37" s="19">
        <v>6.0</v>
      </c>
      <c r="J37" s="5"/>
      <c r="K37" s="5"/>
      <c r="L37" s="5"/>
      <c r="M37" s="5"/>
    </row>
    <row r="38" ht="15.75" customHeight="1">
      <c r="A38" s="14">
        <v>46306.0</v>
      </c>
      <c r="B38" s="5" t="s">
        <v>4136</v>
      </c>
      <c r="C38" s="15">
        <v>0.5729166666666666</v>
      </c>
      <c r="D38" s="5" t="s">
        <v>28</v>
      </c>
      <c r="E38" s="16" t="str">
        <f t="array" ref="E38">_xlfn.XLOOKUP(F38, Filmes!$D$2:$D$344, Filmes!$A$2:$A$344, "")</f>
        <v>011</v>
      </c>
      <c r="F38" s="7" t="s">
        <v>185</v>
      </c>
      <c r="G38" s="17" t="s">
        <v>4133</v>
      </c>
      <c r="H38" s="17" t="s">
        <v>4134</v>
      </c>
      <c r="I38" s="19">
        <v>2.0</v>
      </c>
      <c r="J38" s="5"/>
      <c r="K38" s="5"/>
      <c r="L38" s="5"/>
      <c r="M38" s="5"/>
    </row>
    <row r="39" ht="15.75" customHeight="1">
      <c r="A39" s="14">
        <v>46299.0</v>
      </c>
      <c r="B39" s="5" t="s">
        <v>4136</v>
      </c>
      <c r="C39" s="15">
        <v>0.90625</v>
      </c>
      <c r="D39" s="5" t="s">
        <v>28</v>
      </c>
      <c r="E39" s="16" t="str">
        <f t="array" ref="E39">_xlfn.XLOOKUP(F39, Filmes!$D$2:$D$344, Filmes!$A$2:$A$344, "")</f>
        <v>012</v>
      </c>
      <c r="F39" s="7" t="s">
        <v>201</v>
      </c>
      <c r="G39" s="17" t="s">
        <v>4122</v>
      </c>
      <c r="H39" s="17" t="s">
        <v>4123</v>
      </c>
      <c r="I39" s="18"/>
      <c r="J39" s="5"/>
      <c r="K39" s="5"/>
      <c r="L39" s="5"/>
      <c r="M39" s="5"/>
    </row>
    <row r="40" ht="15.75" customHeight="1">
      <c r="A40" s="14">
        <v>46304.0</v>
      </c>
      <c r="B40" s="5" t="s">
        <v>4135</v>
      </c>
      <c r="C40" s="15">
        <v>0.59375</v>
      </c>
      <c r="D40" s="5" t="s">
        <v>28</v>
      </c>
      <c r="E40" s="16" t="str">
        <f t="array" ref="E40">_xlfn.XLOOKUP(F40, Filmes!$D$2:$D$344, Filmes!$A$2:$A$344, "")</f>
        <v>012</v>
      </c>
      <c r="F40" s="7" t="s">
        <v>201</v>
      </c>
      <c r="G40" s="17" t="s">
        <v>4130</v>
      </c>
      <c r="H40" s="17" t="s">
        <v>4131</v>
      </c>
      <c r="I40" s="19">
        <v>6.0</v>
      </c>
      <c r="J40" s="5"/>
      <c r="K40" s="5"/>
      <c r="L40" s="5"/>
      <c r="M40" s="5"/>
    </row>
    <row r="41" ht="15.75" customHeight="1">
      <c r="A41" s="14">
        <v>46306.0</v>
      </c>
      <c r="B41" s="5" t="s">
        <v>4136</v>
      </c>
      <c r="C41" s="15">
        <v>0.7083333333333334</v>
      </c>
      <c r="D41" s="5" t="s">
        <v>28</v>
      </c>
      <c r="E41" s="16" t="str">
        <f t="array" ref="E41">_xlfn.XLOOKUP(F41, Filmes!$D$2:$D$344, Filmes!$A$2:$A$344, "")</f>
        <v>012</v>
      </c>
      <c r="F41" s="7" t="s">
        <v>201</v>
      </c>
      <c r="G41" s="17" t="s">
        <v>4128</v>
      </c>
      <c r="H41" s="17" t="s">
        <v>4129</v>
      </c>
      <c r="I41" s="19">
        <v>5.0</v>
      </c>
      <c r="J41" s="5"/>
      <c r="K41" s="5"/>
      <c r="L41" s="5"/>
      <c r="M41" s="5"/>
    </row>
    <row r="42" ht="15.75" customHeight="1">
      <c r="A42" s="14">
        <v>46298.0</v>
      </c>
      <c r="B42" s="5" t="s">
        <v>4127</v>
      </c>
      <c r="C42" s="15">
        <v>0.8645833333333334</v>
      </c>
      <c r="D42" s="5" t="s">
        <v>28</v>
      </c>
      <c r="E42" s="16" t="str">
        <f t="array" ref="E42">_xlfn.XLOOKUP(F42, Filmes!$D$2:$D$344, Filmes!$A$2:$A$344, "")</f>
        <v>013</v>
      </c>
      <c r="F42" s="7" t="s">
        <v>217</v>
      </c>
      <c r="G42" s="17" t="s">
        <v>4139</v>
      </c>
      <c r="H42" s="17" t="s">
        <v>4140</v>
      </c>
      <c r="I42" s="19">
        <v>5.0</v>
      </c>
      <c r="J42" s="5"/>
      <c r="K42" s="5"/>
      <c r="L42" s="5"/>
      <c r="M42" s="5"/>
    </row>
    <row r="43" ht="15.75" customHeight="1">
      <c r="A43" s="14">
        <v>46301.0</v>
      </c>
      <c r="B43" s="5" t="s">
        <v>4121</v>
      </c>
      <c r="C43" s="15">
        <v>0.5729166666666666</v>
      </c>
      <c r="D43" s="5" t="s">
        <v>28</v>
      </c>
      <c r="E43" s="16" t="str">
        <f t="array" ref="E43">_xlfn.XLOOKUP(F43, Filmes!$D$2:$D$344, Filmes!$A$2:$A$344, "")</f>
        <v>013</v>
      </c>
      <c r="F43" s="7" t="s">
        <v>217</v>
      </c>
      <c r="G43" s="17" t="s">
        <v>4133</v>
      </c>
      <c r="H43" s="17" t="s">
        <v>4134</v>
      </c>
      <c r="I43" s="19">
        <v>2.0</v>
      </c>
      <c r="J43" s="5"/>
      <c r="K43" s="5"/>
      <c r="L43" s="5"/>
      <c r="M43" s="5"/>
    </row>
    <row r="44" ht="15.75" customHeight="1">
      <c r="A44" s="14">
        <v>46304.0</v>
      </c>
      <c r="B44" s="5" t="s">
        <v>4135</v>
      </c>
      <c r="C44" s="15">
        <v>0.6666666666666666</v>
      </c>
      <c r="D44" s="5" t="s">
        <v>28</v>
      </c>
      <c r="E44" s="16" t="str">
        <f t="array" ref="E44">_xlfn.XLOOKUP(F44, Filmes!$D$2:$D$344, Filmes!$A$2:$A$344, "")</f>
        <v>013</v>
      </c>
      <c r="F44" s="7" t="s">
        <v>217</v>
      </c>
      <c r="G44" s="17" t="s">
        <v>4128</v>
      </c>
      <c r="H44" s="17" t="s">
        <v>4129</v>
      </c>
      <c r="I44" s="19">
        <v>2.0</v>
      </c>
      <c r="J44" s="5"/>
      <c r="K44" s="5"/>
      <c r="L44" s="5"/>
      <c r="M44" s="5"/>
    </row>
    <row r="45" ht="15.75" customHeight="1">
      <c r="A45" s="14">
        <v>46300.0</v>
      </c>
      <c r="B45" s="5" t="s">
        <v>4132</v>
      </c>
      <c r="C45" s="15">
        <v>0.5416666666666666</v>
      </c>
      <c r="D45" s="5" t="s">
        <v>28</v>
      </c>
      <c r="E45" s="16" t="str">
        <f t="array" ref="E45">_xlfn.XLOOKUP(F45, Filmes!$D$2:$D$344, Filmes!$A$2:$A$344, "")</f>
        <v>014</v>
      </c>
      <c r="F45" s="7" t="s">
        <v>231</v>
      </c>
      <c r="G45" s="17" t="s">
        <v>4130</v>
      </c>
      <c r="H45" s="17" t="s">
        <v>4131</v>
      </c>
      <c r="I45" s="19">
        <v>2.0</v>
      </c>
      <c r="J45" s="5"/>
      <c r="K45" s="5"/>
      <c r="L45" s="5"/>
      <c r="M45" s="5"/>
    </row>
    <row r="46" ht="15.75" customHeight="1">
      <c r="A46" s="14">
        <v>46305.0</v>
      </c>
      <c r="B46" s="5" t="s">
        <v>4127</v>
      </c>
      <c r="C46" s="15">
        <v>0.7083333333333334</v>
      </c>
      <c r="D46" s="5" t="s">
        <v>28</v>
      </c>
      <c r="E46" s="16" t="str">
        <f t="array" ref="E46">_xlfn.XLOOKUP(F46, Filmes!$D$2:$D$344, Filmes!$A$2:$A$344, "")</f>
        <v>014</v>
      </c>
      <c r="F46" s="7" t="s">
        <v>231</v>
      </c>
      <c r="G46" s="17" t="s">
        <v>4139</v>
      </c>
      <c r="H46" s="17" t="s">
        <v>4140</v>
      </c>
      <c r="I46" s="19">
        <v>4.0</v>
      </c>
      <c r="J46" s="5"/>
      <c r="K46" s="5"/>
      <c r="L46" s="5"/>
      <c r="M46" s="5"/>
    </row>
    <row r="47" ht="15.75" customHeight="1">
      <c r="A47" s="14">
        <v>46309.0</v>
      </c>
      <c r="B47" s="5" t="s">
        <v>4143</v>
      </c>
      <c r="C47" s="15">
        <v>0.625</v>
      </c>
      <c r="D47" s="5" t="s">
        <v>28</v>
      </c>
      <c r="E47" s="16" t="str">
        <f t="array" ref="E47">_xlfn.XLOOKUP(F47, Filmes!$D$2:$D$344, Filmes!$A$2:$A$344, "")</f>
        <v>014</v>
      </c>
      <c r="F47" s="7" t="s">
        <v>231</v>
      </c>
      <c r="G47" s="17" t="s">
        <v>4128</v>
      </c>
      <c r="H47" s="17" t="s">
        <v>4129</v>
      </c>
      <c r="I47" s="19">
        <v>5.0</v>
      </c>
      <c r="J47" s="5"/>
      <c r="K47" s="5"/>
      <c r="L47" s="5"/>
      <c r="M47" s="5"/>
    </row>
    <row r="48" ht="15.75" customHeight="1">
      <c r="A48" s="14">
        <v>46297.0</v>
      </c>
      <c r="B48" s="5" t="s">
        <v>4135</v>
      </c>
      <c r="C48" s="15">
        <v>0.6875</v>
      </c>
      <c r="D48" s="5" t="s">
        <v>28</v>
      </c>
      <c r="E48" s="16" t="str">
        <f t="array" ref="E48">_xlfn.XLOOKUP(F48, Filmes!$D$2:$D$344, Filmes!$A$2:$A$344, "")</f>
        <v>015</v>
      </c>
      <c r="F48" s="7" t="s">
        <v>244</v>
      </c>
      <c r="G48" s="17" t="s">
        <v>4130</v>
      </c>
      <c r="H48" s="17" t="s">
        <v>4131</v>
      </c>
      <c r="I48" s="19">
        <v>4.0</v>
      </c>
      <c r="J48" s="5"/>
      <c r="K48" s="5"/>
      <c r="L48" s="5"/>
      <c r="M48" s="5"/>
    </row>
    <row r="49" ht="15.75" customHeight="1">
      <c r="A49" s="14">
        <v>46299.0</v>
      </c>
      <c r="B49" s="5" t="s">
        <v>4136</v>
      </c>
      <c r="C49" s="15">
        <v>0.59375</v>
      </c>
      <c r="D49" s="5" t="s">
        <v>28</v>
      </c>
      <c r="E49" s="16" t="str">
        <f t="array" ref="E49">_xlfn.XLOOKUP(F49, Filmes!$D$2:$D$344, Filmes!$A$2:$A$344, "")</f>
        <v>015</v>
      </c>
      <c r="F49" s="7" t="s">
        <v>244</v>
      </c>
      <c r="G49" s="17" t="s">
        <v>4139</v>
      </c>
      <c r="H49" s="17" t="s">
        <v>4140</v>
      </c>
      <c r="I49" s="19">
        <v>4.0</v>
      </c>
      <c r="J49" s="5"/>
      <c r="K49" s="5"/>
      <c r="L49" s="5"/>
      <c r="M49" s="5"/>
    </row>
    <row r="50" ht="15.75" customHeight="1">
      <c r="A50" s="14">
        <v>46305.0</v>
      </c>
      <c r="B50" s="5" t="s">
        <v>4127</v>
      </c>
      <c r="C50" s="15">
        <v>0.8333333333333334</v>
      </c>
      <c r="D50" s="5" t="s">
        <v>28</v>
      </c>
      <c r="E50" s="16" t="str">
        <f t="array" ref="E50">_xlfn.XLOOKUP(F50, Filmes!$D$2:$D$344, Filmes!$A$2:$A$344, "")</f>
        <v>015</v>
      </c>
      <c r="F50" s="7" t="s">
        <v>244</v>
      </c>
      <c r="G50" s="17" t="s">
        <v>4133</v>
      </c>
      <c r="H50" s="17" t="s">
        <v>4134</v>
      </c>
      <c r="I50" s="19">
        <v>2.0</v>
      </c>
      <c r="J50" s="5"/>
      <c r="K50" s="5"/>
      <c r="L50" s="5"/>
      <c r="M50" s="5"/>
    </row>
    <row r="51" ht="15.75" customHeight="1">
      <c r="A51" s="14">
        <v>46300.0</v>
      </c>
      <c r="B51" s="5" t="s">
        <v>4132</v>
      </c>
      <c r="C51" s="15">
        <v>0.6979166666666666</v>
      </c>
      <c r="D51" s="5" t="s">
        <v>28</v>
      </c>
      <c r="E51" s="16" t="str">
        <f t="array" ref="E51">_xlfn.XLOOKUP(F51, Filmes!$D$2:$D$344, Filmes!$A$2:$A$344, "")</f>
        <v>016</v>
      </c>
      <c r="F51" s="7" t="s">
        <v>259</v>
      </c>
      <c r="G51" s="17" t="s">
        <v>4130</v>
      </c>
      <c r="H51" s="17" t="s">
        <v>4131</v>
      </c>
      <c r="I51" s="19">
        <v>6.0</v>
      </c>
      <c r="J51" s="5"/>
      <c r="K51" s="5"/>
      <c r="L51" s="5"/>
      <c r="M51" s="5"/>
    </row>
    <row r="52" ht="15.75" customHeight="1">
      <c r="A52" s="14">
        <v>46303.0</v>
      </c>
      <c r="B52" s="5" t="s">
        <v>4124</v>
      </c>
      <c r="C52" s="15">
        <v>0.8958333333333334</v>
      </c>
      <c r="D52" s="5" t="s">
        <v>28</v>
      </c>
      <c r="E52" s="16" t="str">
        <f t="array" ref="E52">_xlfn.XLOOKUP(F52, Filmes!$D$2:$D$344, Filmes!$A$2:$A$344, "")</f>
        <v>016</v>
      </c>
      <c r="F52" s="7" t="s">
        <v>259</v>
      </c>
      <c r="G52" s="17" t="s">
        <v>4125</v>
      </c>
      <c r="H52" s="17" t="s">
        <v>4126</v>
      </c>
      <c r="I52" s="19">
        <v>2.0</v>
      </c>
      <c r="J52" s="5"/>
      <c r="K52" s="5"/>
      <c r="L52" s="5"/>
      <c r="M52" s="5"/>
    </row>
    <row r="53" ht="15.75" customHeight="1">
      <c r="A53" s="14">
        <v>46305.0</v>
      </c>
      <c r="B53" s="5" t="s">
        <v>4127</v>
      </c>
      <c r="C53" s="15">
        <v>0.5833333333333334</v>
      </c>
      <c r="D53" s="5" t="s">
        <v>28</v>
      </c>
      <c r="E53" s="16" t="str">
        <f t="array" ref="E53">_xlfn.XLOOKUP(F53, Filmes!$D$2:$D$344, Filmes!$A$2:$A$344, "")</f>
        <v>016</v>
      </c>
      <c r="F53" s="7" t="s">
        <v>259</v>
      </c>
      <c r="G53" s="17" t="s">
        <v>4128</v>
      </c>
      <c r="H53" s="17" t="s">
        <v>4129</v>
      </c>
      <c r="I53" s="19">
        <v>2.0</v>
      </c>
      <c r="J53" s="5"/>
      <c r="K53" s="5"/>
      <c r="L53" s="5"/>
      <c r="M53" s="5"/>
    </row>
    <row r="54" ht="15.75" customHeight="1">
      <c r="A54" s="14">
        <v>46302.0</v>
      </c>
      <c r="B54" s="5" t="s">
        <v>4143</v>
      </c>
      <c r="C54" s="15">
        <v>0.8020833333333334</v>
      </c>
      <c r="D54" s="5" t="s">
        <v>28</v>
      </c>
      <c r="E54" s="16" t="str">
        <f t="array" ref="E54">_xlfn.XLOOKUP(F54, Filmes!$D$2:$D$344, Filmes!$A$2:$A$344, "")</f>
        <v>017</v>
      </c>
      <c r="F54" s="7" t="s">
        <v>273</v>
      </c>
      <c r="G54" s="17" t="s">
        <v>4130</v>
      </c>
      <c r="H54" s="17" t="s">
        <v>4131</v>
      </c>
      <c r="I54" s="19">
        <v>6.0</v>
      </c>
      <c r="J54" s="5"/>
      <c r="K54" s="5"/>
      <c r="L54" s="5" t="s">
        <v>65</v>
      </c>
      <c r="M54" s="5"/>
    </row>
    <row r="55" ht="15.75" customHeight="1">
      <c r="A55" s="14">
        <v>46304.0</v>
      </c>
      <c r="B55" s="5" t="s">
        <v>4135</v>
      </c>
      <c r="C55" s="15">
        <v>0.5729166666666666</v>
      </c>
      <c r="D55" s="5" t="s">
        <v>28</v>
      </c>
      <c r="E55" s="16" t="str">
        <f t="array" ref="E55">_xlfn.XLOOKUP(F55, Filmes!$D$2:$D$344, Filmes!$A$2:$A$344, "")</f>
        <v>017</v>
      </c>
      <c r="F55" s="7" t="s">
        <v>273</v>
      </c>
      <c r="G55" s="17" t="s">
        <v>4133</v>
      </c>
      <c r="H55" s="17" t="s">
        <v>4134</v>
      </c>
      <c r="I55" s="19">
        <v>2.0</v>
      </c>
      <c r="J55" s="5"/>
      <c r="K55" s="5"/>
      <c r="L55" s="5"/>
      <c r="M55" s="5"/>
    </row>
    <row r="56" ht="15.75" customHeight="1">
      <c r="A56" s="14">
        <v>46306.0</v>
      </c>
      <c r="B56" s="5" t="s">
        <v>4136</v>
      </c>
      <c r="C56" s="15">
        <v>0.6979166666666666</v>
      </c>
      <c r="D56" s="5" t="s">
        <v>28</v>
      </c>
      <c r="E56" s="16" t="str">
        <f t="array" ref="E56">_xlfn.XLOOKUP(F56, Filmes!$D$2:$D$344, Filmes!$A$2:$A$344, "")</f>
        <v>017</v>
      </c>
      <c r="F56" s="7" t="s">
        <v>273</v>
      </c>
      <c r="G56" s="17" t="s">
        <v>4139</v>
      </c>
      <c r="H56" s="17" t="s">
        <v>4140</v>
      </c>
      <c r="I56" s="19">
        <v>5.0</v>
      </c>
      <c r="J56" s="5"/>
      <c r="K56" s="5"/>
      <c r="L56" s="5"/>
      <c r="M56" s="5"/>
    </row>
    <row r="57" ht="15.75" customHeight="1">
      <c r="A57" s="14">
        <v>46297.0</v>
      </c>
      <c r="B57" s="5" t="s">
        <v>4135</v>
      </c>
      <c r="C57" s="15">
        <v>0.65625</v>
      </c>
      <c r="D57" s="5" t="s">
        <v>28</v>
      </c>
      <c r="E57" s="16" t="str">
        <f t="array" ref="E57">_xlfn.XLOOKUP(F57, Filmes!$D$2:$D$344, Filmes!$A$2:$A$344, "")</f>
        <v>018</v>
      </c>
      <c r="F57" s="7" t="s">
        <v>287</v>
      </c>
      <c r="G57" s="17" t="s">
        <v>4133</v>
      </c>
      <c r="H57" s="17" t="s">
        <v>4134</v>
      </c>
      <c r="I57" s="19">
        <v>2.0</v>
      </c>
      <c r="J57" s="5"/>
      <c r="K57" s="5"/>
      <c r="L57" s="5"/>
      <c r="M57" s="5"/>
    </row>
    <row r="58" ht="15.75" customHeight="1">
      <c r="A58" s="14">
        <v>46298.0</v>
      </c>
      <c r="B58" s="5" t="s">
        <v>4127</v>
      </c>
      <c r="C58" s="15">
        <v>0.5833333333333334</v>
      </c>
      <c r="D58" s="5" t="s">
        <v>28</v>
      </c>
      <c r="E58" s="16" t="str">
        <f t="array" ref="E58">_xlfn.XLOOKUP(F58, Filmes!$D$2:$D$344, Filmes!$A$2:$A$344, "")</f>
        <v>018</v>
      </c>
      <c r="F58" s="7" t="s">
        <v>287</v>
      </c>
      <c r="G58" s="17" t="s">
        <v>4137</v>
      </c>
      <c r="H58" s="17" t="s">
        <v>4138</v>
      </c>
      <c r="I58" s="19">
        <v>1.0</v>
      </c>
      <c r="J58" s="5"/>
      <c r="K58" s="5"/>
      <c r="L58" s="5"/>
      <c r="M58" s="5"/>
    </row>
    <row r="59" ht="15.75" customHeight="1">
      <c r="A59" s="14">
        <v>46305.0</v>
      </c>
      <c r="B59" s="5" t="s">
        <v>4127</v>
      </c>
      <c r="C59" s="15">
        <v>0.875</v>
      </c>
      <c r="D59" s="5" t="s">
        <v>28</v>
      </c>
      <c r="E59" s="16" t="str">
        <f t="array" ref="E59">_xlfn.XLOOKUP(F59, Filmes!$D$2:$D$344, Filmes!$A$2:$A$344, "")</f>
        <v>018</v>
      </c>
      <c r="F59" s="7" t="s">
        <v>287</v>
      </c>
      <c r="G59" s="17" t="s">
        <v>4130</v>
      </c>
      <c r="H59" s="17" t="s">
        <v>4131</v>
      </c>
      <c r="I59" s="19">
        <v>4.0</v>
      </c>
      <c r="J59" s="5"/>
      <c r="K59" s="5"/>
      <c r="L59" s="5"/>
      <c r="M59" s="5"/>
    </row>
    <row r="60" ht="15.75" customHeight="1">
      <c r="A60" s="14">
        <v>46296.0</v>
      </c>
      <c r="B60" s="5" t="s">
        <v>4124</v>
      </c>
      <c r="C60" s="15">
        <v>0.5833333333333334</v>
      </c>
      <c r="D60" s="5" t="s">
        <v>28</v>
      </c>
      <c r="E60" s="16" t="str">
        <f t="array" ref="E60">_xlfn.XLOOKUP(F60, Filmes!$D$2:$D$344, Filmes!$A$2:$A$344, "")</f>
        <v>019</v>
      </c>
      <c r="F60" s="7" t="s">
        <v>301</v>
      </c>
      <c r="G60" s="17" t="s">
        <v>4137</v>
      </c>
      <c r="H60" s="17" t="s">
        <v>4138</v>
      </c>
      <c r="I60" s="19">
        <v>1.0</v>
      </c>
      <c r="J60" s="5"/>
      <c r="K60" s="5"/>
      <c r="L60" s="5"/>
      <c r="M60" s="5"/>
    </row>
    <row r="61" ht="15.75" customHeight="1">
      <c r="A61" s="14">
        <v>46298.0</v>
      </c>
      <c r="B61" s="5" t="s">
        <v>4127</v>
      </c>
      <c r="C61" s="15">
        <v>0.7986111111111112</v>
      </c>
      <c r="D61" s="5" t="s">
        <v>28</v>
      </c>
      <c r="E61" s="16" t="str">
        <f t="array" ref="E61">_xlfn.XLOOKUP(F61, Filmes!$D$2:$D$344, Filmes!$A$2:$A$344, "")</f>
        <v>019</v>
      </c>
      <c r="F61" s="7" t="s">
        <v>301</v>
      </c>
      <c r="G61" s="17" t="s">
        <v>4125</v>
      </c>
      <c r="H61" s="17" t="s">
        <v>4126</v>
      </c>
      <c r="I61" s="19">
        <v>2.0</v>
      </c>
      <c r="J61" s="5"/>
      <c r="K61" s="5"/>
      <c r="L61" s="5"/>
      <c r="M61" s="5"/>
    </row>
    <row r="62" ht="15.75" customHeight="1">
      <c r="A62" s="14">
        <v>46304.0</v>
      </c>
      <c r="B62" s="5" t="s">
        <v>4135</v>
      </c>
      <c r="C62" s="15">
        <v>0.6875</v>
      </c>
      <c r="D62" s="5" t="s">
        <v>28</v>
      </c>
      <c r="E62" s="16" t="str">
        <f t="array" ref="E62">_xlfn.XLOOKUP(F62, Filmes!$D$2:$D$344, Filmes!$A$2:$A$344, "")</f>
        <v>019</v>
      </c>
      <c r="F62" s="7" t="s">
        <v>301</v>
      </c>
      <c r="G62" s="17" t="s">
        <v>4130</v>
      </c>
      <c r="H62" s="17" t="s">
        <v>4131</v>
      </c>
      <c r="I62" s="19">
        <v>4.0</v>
      </c>
      <c r="J62" s="5"/>
      <c r="K62" s="5"/>
      <c r="L62" s="5"/>
      <c r="M62" s="5"/>
    </row>
    <row r="63" ht="15.75" customHeight="1">
      <c r="A63" s="14">
        <v>46302.0</v>
      </c>
      <c r="B63" s="5" t="s">
        <v>4143</v>
      </c>
      <c r="C63" s="15">
        <v>0.8229166666666666</v>
      </c>
      <c r="D63" s="5" t="s">
        <v>28</v>
      </c>
      <c r="E63" s="16" t="str">
        <f t="array" ref="E63">_xlfn.XLOOKUP(F63, Filmes!$D$2:$D$344, Filmes!$A$2:$A$344, "")</f>
        <v>020</v>
      </c>
      <c r="F63" s="7" t="s">
        <v>314</v>
      </c>
      <c r="G63" s="17" t="s">
        <v>4122</v>
      </c>
      <c r="H63" s="17" t="s">
        <v>4123</v>
      </c>
      <c r="I63" s="18"/>
      <c r="J63" s="5"/>
      <c r="K63" s="5"/>
      <c r="L63" s="5"/>
      <c r="M63" s="5"/>
    </row>
    <row r="64" ht="15.75" customHeight="1">
      <c r="A64" s="14">
        <v>46304.0</v>
      </c>
      <c r="B64" s="5" t="s">
        <v>4135</v>
      </c>
      <c r="C64" s="15">
        <v>0.8958333333333334</v>
      </c>
      <c r="D64" s="5" t="s">
        <v>28</v>
      </c>
      <c r="E64" s="16" t="str">
        <f t="array" ref="E64">_xlfn.XLOOKUP(F64, Filmes!$D$2:$D$344, Filmes!$A$2:$A$344, "")</f>
        <v>020</v>
      </c>
      <c r="F64" s="7" t="s">
        <v>314</v>
      </c>
      <c r="G64" s="17" t="s">
        <v>4125</v>
      </c>
      <c r="H64" s="17" t="s">
        <v>4126</v>
      </c>
      <c r="I64" s="19">
        <v>2.0</v>
      </c>
      <c r="J64" s="5"/>
      <c r="K64" s="5"/>
      <c r="L64" s="5"/>
      <c r="M64" s="5"/>
    </row>
    <row r="65" ht="15.75" customHeight="1">
      <c r="A65" s="14">
        <v>46306.0</v>
      </c>
      <c r="B65" s="5" t="s">
        <v>4136</v>
      </c>
      <c r="C65" s="15">
        <v>0.7083333333333334</v>
      </c>
      <c r="D65" s="5" t="s">
        <v>28</v>
      </c>
      <c r="E65" s="16" t="str">
        <f t="array" ref="E65">_xlfn.XLOOKUP(F65, Filmes!$D$2:$D$344, Filmes!$A$2:$A$344, "")</f>
        <v>020</v>
      </c>
      <c r="F65" s="7" t="s">
        <v>314</v>
      </c>
      <c r="G65" s="17" t="s">
        <v>4130</v>
      </c>
      <c r="H65" s="17" t="s">
        <v>4131</v>
      </c>
      <c r="I65" s="19">
        <v>6.0</v>
      </c>
      <c r="J65" s="5"/>
      <c r="K65" s="5"/>
      <c r="L65" s="5"/>
      <c r="M65" s="5"/>
    </row>
    <row r="66" ht="15.75" customHeight="1">
      <c r="A66" s="14">
        <v>46299.0</v>
      </c>
      <c r="B66" s="5" t="s">
        <v>4136</v>
      </c>
      <c r="C66" s="15">
        <v>0.8125</v>
      </c>
      <c r="D66" s="5" t="s">
        <v>28</v>
      </c>
      <c r="E66" s="16" t="str">
        <f t="array" ref="E66">_xlfn.XLOOKUP(F66, Filmes!$D$2:$D$344, Filmes!$A$2:$A$344, "")</f>
        <v>021</v>
      </c>
      <c r="F66" s="7" t="s">
        <v>330</v>
      </c>
      <c r="G66" s="17" t="s">
        <v>4122</v>
      </c>
      <c r="H66" s="17" t="s">
        <v>4123</v>
      </c>
      <c r="I66" s="18"/>
      <c r="J66" s="5"/>
      <c r="K66" s="5"/>
      <c r="L66" s="5"/>
      <c r="M66" s="5"/>
    </row>
    <row r="67" ht="15.75" customHeight="1">
      <c r="A67" s="14">
        <v>46303.0</v>
      </c>
      <c r="B67" s="5" t="s">
        <v>4124</v>
      </c>
      <c r="C67" s="15">
        <v>0.6979166666666666</v>
      </c>
      <c r="D67" s="5" t="s">
        <v>28</v>
      </c>
      <c r="E67" s="16" t="str">
        <f t="array" ref="E67">_xlfn.XLOOKUP(F67, Filmes!$D$2:$D$344, Filmes!$A$2:$A$344, "")</f>
        <v>021</v>
      </c>
      <c r="F67" s="7" t="s">
        <v>330</v>
      </c>
      <c r="G67" s="17" t="s">
        <v>4130</v>
      </c>
      <c r="H67" s="17" t="s">
        <v>4131</v>
      </c>
      <c r="I67" s="19">
        <v>6.0</v>
      </c>
      <c r="J67" s="5"/>
      <c r="K67" s="5"/>
      <c r="L67" s="5"/>
      <c r="M67" s="5"/>
    </row>
    <row r="68" ht="15.75" customHeight="1">
      <c r="A68" s="14">
        <v>46306.0</v>
      </c>
      <c r="B68" s="5" t="s">
        <v>4136</v>
      </c>
      <c r="C68" s="15">
        <v>0.875</v>
      </c>
      <c r="D68" s="5" t="s">
        <v>28</v>
      </c>
      <c r="E68" s="16" t="str">
        <f t="array" ref="E68">_xlfn.XLOOKUP(F68, Filmes!$D$2:$D$344, Filmes!$A$2:$A$344, "")</f>
        <v>021</v>
      </c>
      <c r="F68" s="7" t="s">
        <v>330</v>
      </c>
      <c r="G68" s="17" t="s">
        <v>4125</v>
      </c>
      <c r="H68" s="17" t="s">
        <v>4126</v>
      </c>
      <c r="I68" s="19">
        <v>2.0</v>
      </c>
      <c r="J68" s="5"/>
      <c r="K68" s="5"/>
      <c r="L68" s="5"/>
      <c r="M68" s="5"/>
    </row>
    <row r="69" ht="15.75" customHeight="1">
      <c r="A69" s="14">
        <v>46304.0</v>
      </c>
      <c r="B69" s="5" t="s">
        <v>4135</v>
      </c>
      <c r="C69" s="15">
        <v>0.8020833333333334</v>
      </c>
      <c r="D69" s="5" t="s">
        <v>28</v>
      </c>
      <c r="E69" s="16" t="str">
        <f t="array" ref="E69">_xlfn.XLOOKUP(F69, Filmes!$D$2:$D$344, Filmes!$A$2:$A$344, "")</f>
        <v>022</v>
      </c>
      <c r="F69" s="7" t="s">
        <v>343</v>
      </c>
      <c r="G69" s="17" t="s">
        <v>4122</v>
      </c>
      <c r="H69" s="17" t="s">
        <v>4123</v>
      </c>
      <c r="I69" s="18"/>
      <c r="J69" s="5"/>
      <c r="K69" s="5"/>
      <c r="L69" s="5" t="s">
        <v>65</v>
      </c>
      <c r="M69" s="5"/>
    </row>
    <row r="70" ht="15.75" customHeight="1">
      <c r="A70" s="14">
        <v>46305.0</v>
      </c>
      <c r="B70" s="5" t="s">
        <v>4127</v>
      </c>
      <c r="C70" s="15">
        <v>0.8854166666666666</v>
      </c>
      <c r="D70" s="5" t="s">
        <v>28</v>
      </c>
      <c r="E70" s="16" t="str">
        <f t="array" ref="E70">_xlfn.XLOOKUP(F70, Filmes!$D$2:$D$344, Filmes!$A$2:$A$344, "")</f>
        <v>022</v>
      </c>
      <c r="F70" s="7" t="s">
        <v>343</v>
      </c>
      <c r="G70" s="17" t="s">
        <v>4137</v>
      </c>
      <c r="H70" s="17" t="s">
        <v>4138</v>
      </c>
      <c r="I70" s="19">
        <v>1.0</v>
      </c>
      <c r="J70" s="5"/>
      <c r="K70" s="5"/>
      <c r="L70" s="5"/>
      <c r="M70" s="5"/>
    </row>
    <row r="71" ht="15.75" customHeight="1">
      <c r="A71" s="14">
        <v>46306.0</v>
      </c>
      <c r="B71" s="5" t="s">
        <v>4136</v>
      </c>
      <c r="C71" s="15">
        <v>0.90625</v>
      </c>
      <c r="D71" s="5" t="s">
        <v>28</v>
      </c>
      <c r="E71" s="16" t="str">
        <f t="array" ref="E71">_xlfn.XLOOKUP(F71, Filmes!$D$2:$D$344, Filmes!$A$2:$A$344, "")</f>
        <v>022</v>
      </c>
      <c r="F71" s="7" t="s">
        <v>343</v>
      </c>
      <c r="G71" s="17" t="s">
        <v>4128</v>
      </c>
      <c r="H71" s="17" t="s">
        <v>4129</v>
      </c>
      <c r="I71" s="19">
        <v>5.0</v>
      </c>
      <c r="J71" s="5"/>
      <c r="K71" s="5"/>
      <c r="L71" s="5"/>
      <c r="M71" s="5"/>
    </row>
    <row r="72" ht="15.75" customHeight="1">
      <c r="A72" s="14">
        <v>46296.0</v>
      </c>
      <c r="B72" s="5" t="s">
        <v>4124</v>
      </c>
      <c r="C72" s="15">
        <v>0.7916666666666666</v>
      </c>
      <c r="D72" s="5" t="s">
        <v>28</v>
      </c>
      <c r="E72" s="16" t="str">
        <f t="array" ref="E72">_xlfn.XLOOKUP(F72, Filmes!$D$2:$D$344, Filmes!$A$2:$A$344, "")</f>
        <v>023</v>
      </c>
      <c r="F72" s="7" t="s">
        <v>358</v>
      </c>
      <c r="G72" s="17" t="s">
        <v>4125</v>
      </c>
      <c r="H72" s="17" t="s">
        <v>4126</v>
      </c>
      <c r="I72" s="19">
        <v>2.0</v>
      </c>
      <c r="J72" s="5"/>
      <c r="K72" s="5"/>
      <c r="L72" s="5"/>
      <c r="M72" s="5"/>
    </row>
    <row r="73" ht="15.75" customHeight="1">
      <c r="A73" s="14">
        <v>46299.0</v>
      </c>
      <c r="B73" s="5" t="s">
        <v>4136</v>
      </c>
      <c r="C73" s="15">
        <v>0.90625</v>
      </c>
      <c r="D73" s="5" t="s">
        <v>28</v>
      </c>
      <c r="E73" s="16" t="str">
        <f t="array" ref="E73">_xlfn.XLOOKUP(F73, Filmes!$D$2:$D$344, Filmes!$A$2:$A$344, "")</f>
        <v>023</v>
      </c>
      <c r="F73" s="7" t="s">
        <v>358</v>
      </c>
      <c r="G73" s="17" t="s">
        <v>4128</v>
      </c>
      <c r="H73" s="17" t="s">
        <v>4129</v>
      </c>
      <c r="I73" s="19">
        <v>5.0</v>
      </c>
      <c r="J73" s="5"/>
      <c r="K73" s="5"/>
      <c r="L73" s="5"/>
      <c r="M73" s="5"/>
    </row>
    <row r="74" ht="15.75" customHeight="1">
      <c r="A74" s="14">
        <v>46301.0</v>
      </c>
      <c r="B74" s="5" t="s">
        <v>4121</v>
      </c>
      <c r="C74" s="15">
        <v>0.6979166666666666</v>
      </c>
      <c r="D74" s="5" t="s">
        <v>28</v>
      </c>
      <c r="E74" s="16" t="str">
        <f t="array" ref="E74">_xlfn.XLOOKUP(F74, Filmes!$D$2:$D$344, Filmes!$A$2:$A$344, "")</f>
        <v>023</v>
      </c>
      <c r="F74" s="7" t="s">
        <v>358</v>
      </c>
      <c r="G74" s="17" t="s">
        <v>4130</v>
      </c>
      <c r="H74" s="17" t="s">
        <v>4131</v>
      </c>
      <c r="I74" s="19">
        <v>6.0</v>
      </c>
      <c r="J74" s="5"/>
      <c r="K74" s="5"/>
      <c r="L74" s="5"/>
      <c r="M74" s="5"/>
    </row>
    <row r="75" ht="15.75" customHeight="1">
      <c r="A75" s="14">
        <v>46297.0</v>
      </c>
      <c r="B75" s="5" t="s">
        <v>4135</v>
      </c>
      <c r="C75" s="15">
        <v>0.9027777777777778</v>
      </c>
      <c r="D75" s="5" t="s">
        <v>28</v>
      </c>
      <c r="E75" s="16" t="str">
        <f t="array" ref="E75">_xlfn.XLOOKUP(F75, Filmes!$D$2:$D$344, Filmes!$A$2:$A$344, "")</f>
        <v>024</v>
      </c>
      <c r="F75" s="7" t="s">
        <v>371</v>
      </c>
      <c r="G75" s="17" t="s">
        <v>4125</v>
      </c>
      <c r="H75" s="17" t="s">
        <v>4126</v>
      </c>
      <c r="I75" s="19">
        <v>2.0</v>
      </c>
      <c r="J75" s="5"/>
      <c r="K75" s="5"/>
      <c r="L75" s="5"/>
      <c r="M75" s="5"/>
    </row>
    <row r="76" ht="15.75" customHeight="1">
      <c r="A76" s="14">
        <v>46299.0</v>
      </c>
      <c r="B76" s="5" t="s">
        <v>4136</v>
      </c>
      <c r="C76" s="15">
        <v>0.7083333333333334</v>
      </c>
      <c r="D76" s="5" t="s">
        <v>28</v>
      </c>
      <c r="E76" s="16" t="str">
        <f t="array" ref="E76">_xlfn.XLOOKUP(F76, Filmes!$D$2:$D$344, Filmes!$A$2:$A$344, "")</f>
        <v>024</v>
      </c>
      <c r="F76" s="7" t="s">
        <v>371</v>
      </c>
      <c r="G76" s="17" t="s">
        <v>4137</v>
      </c>
      <c r="H76" s="17" t="s">
        <v>4138</v>
      </c>
      <c r="I76" s="19">
        <v>1.0</v>
      </c>
      <c r="J76" s="5"/>
      <c r="K76" s="5"/>
      <c r="L76" s="5"/>
      <c r="M76" s="5"/>
    </row>
    <row r="77" ht="15.75" customHeight="1">
      <c r="A77" s="14">
        <v>46301.0</v>
      </c>
      <c r="B77" s="5" t="s">
        <v>4121</v>
      </c>
      <c r="C77" s="15">
        <v>0.59375</v>
      </c>
      <c r="D77" s="5" t="s">
        <v>28</v>
      </c>
      <c r="E77" s="16" t="str">
        <f t="array" ref="E77">_xlfn.XLOOKUP(F77, Filmes!$D$2:$D$344, Filmes!$A$2:$A$344, "")</f>
        <v>024</v>
      </c>
      <c r="F77" s="7" t="s">
        <v>371</v>
      </c>
      <c r="G77" s="17" t="s">
        <v>4139</v>
      </c>
      <c r="H77" s="17" t="s">
        <v>4140</v>
      </c>
      <c r="I77" s="19">
        <v>4.0</v>
      </c>
      <c r="J77" s="5"/>
      <c r="K77" s="5"/>
      <c r="L77" s="5"/>
      <c r="M77" s="5"/>
    </row>
    <row r="78" ht="15.75" customHeight="1">
      <c r="A78" s="14">
        <v>46303.0</v>
      </c>
      <c r="B78" s="5" t="s">
        <v>4124</v>
      </c>
      <c r="C78" s="15">
        <v>0.84375</v>
      </c>
      <c r="D78" s="5" t="s">
        <v>28</v>
      </c>
      <c r="E78" s="16" t="str">
        <f t="array" ref="E78">_xlfn.XLOOKUP(F78, Filmes!$D$2:$D$344, Filmes!$A$2:$A$344, "")</f>
        <v>024</v>
      </c>
      <c r="F78" s="7" t="s">
        <v>371</v>
      </c>
      <c r="G78" s="17" t="s">
        <v>4141</v>
      </c>
      <c r="H78" s="17" t="s">
        <v>4142</v>
      </c>
      <c r="I78" s="18"/>
      <c r="J78" s="5"/>
      <c r="K78" s="5"/>
      <c r="L78" s="5"/>
      <c r="M78" s="5"/>
    </row>
    <row r="79" ht="15.75" customHeight="1">
      <c r="A79" s="14">
        <v>46306.0</v>
      </c>
      <c r="B79" s="5" t="s">
        <v>4136</v>
      </c>
      <c r="C79" s="15">
        <v>0.78125</v>
      </c>
      <c r="D79" s="5" t="s">
        <v>28</v>
      </c>
      <c r="E79" s="16" t="str">
        <f t="array" ref="E79">_xlfn.XLOOKUP(F79, Filmes!$D$2:$D$344, Filmes!$A$2:$A$344, "")</f>
        <v>024</v>
      </c>
      <c r="F79" s="7" t="s">
        <v>371</v>
      </c>
      <c r="G79" s="17" t="s">
        <v>4130</v>
      </c>
      <c r="H79" s="17" t="s">
        <v>4131</v>
      </c>
      <c r="I79" s="19">
        <v>5.0</v>
      </c>
      <c r="J79" s="5"/>
      <c r="K79" s="5"/>
      <c r="L79" s="5"/>
      <c r="M79" s="5"/>
    </row>
    <row r="80" ht="15.75" customHeight="1">
      <c r="A80" s="14">
        <v>46297.0</v>
      </c>
      <c r="B80" s="5" t="s">
        <v>4135</v>
      </c>
      <c r="C80" s="15">
        <v>0.7604166666666666</v>
      </c>
      <c r="D80" s="5" t="s">
        <v>28</v>
      </c>
      <c r="E80" s="16" t="str">
        <f t="array" ref="E80">_xlfn.XLOOKUP(F80, Filmes!$D$2:$D$344, Filmes!$A$2:$A$344, "")</f>
        <v>025</v>
      </c>
      <c r="F80" s="7" t="s">
        <v>386</v>
      </c>
      <c r="G80" s="17" t="s">
        <v>4128</v>
      </c>
      <c r="H80" s="17" t="s">
        <v>4129</v>
      </c>
      <c r="I80" s="19">
        <v>3.0</v>
      </c>
      <c r="J80" s="5"/>
      <c r="K80" s="5"/>
      <c r="L80" s="5"/>
      <c r="M80" s="5"/>
    </row>
    <row r="81" ht="15.75" customHeight="1">
      <c r="A81" s="14">
        <v>46300.0</v>
      </c>
      <c r="B81" s="5" t="s">
        <v>4132</v>
      </c>
      <c r="C81" s="15">
        <v>0.6875</v>
      </c>
      <c r="D81" s="5" t="s">
        <v>28</v>
      </c>
      <c r="E81" s="16" t="str">
        <f t="array" ref="E81">_xlfn.XLOOKUP(F81, Filmes!$D$2:$D$344, Filmes!$A$2:$A$344, "")</f>
        <v>025</v>
      </c>
      <c r="F81" s="7" t="s">
        <v>386</v>
      </c>
      <c r="G81" s="17" t="s">
        <v>4130</v>
      </c>
      <c r="H81" s="17" t="s">
        <v>4131</v>
      </c>
      <c r="I81" s="19">
        <v>1.0</v>
      </c>
      <c r="J81" s="5"/>
      <c r="K81" s="5"/>
      <c r="L81" s="5"/>
      <c r="M81" s="5"/>
    </row>
    <row r="82" ht="15.75" customHeight="1">
      <c r="A82" s="14">
        <v>46302.0</v>
      </c>
      <c r="B82" s="5" t="s">
        <v>4143</v>
      </c>
      <c r="C82" s="15">
        <v>0.8333333333333334</v>
      </c>
      <c r="D82" s="5" t="s">
        <v>28</v>
      </c>
      <c r="E82" s="16" t="str">
        <f t="array" ref="E82">_xlfn.XLOOKUP(F82, Filmes!$D$2:$D$344, Filmes!$A$2:$A$344, "")</f>
        <v>025</v>
      </c>
      <c r="F82" s="7" t="s">
        <v>386</v>
      </c>
      <c r="G82" s="17" t="s">
        <v>4133</v>
      </c>
      <c r="H82" s="17" t="s">
        <v>4134</v>
      </c>
      <c r="I82" s="19">
        <v>1.0</v>
      </c>
      <c r="J82" s="5"/>
      <c r="K82" s="5"/>
      <c r="L82" s="5"/>
      <c r="M82" s="5"/>
    </row>
    <row r="83" ht="15.75" customHeight="1">
      <c r="A83" s="14">
        <v>46297.0</v>
      </c>
      <c r="B83" s="5" t="s">
        <v>4135</v>
      </c>
      <c r="C83" s="15">
        <v>0.875</v>
      </c>
      <c r="D83" s="5" t="s">
        <v>28</v>
      </c>
      <c r="E83" s="16" t="str">
        <f t="array" ref="E83">_xlfn.XLOOKUP(F83, Filmes!$D$2:$D$344, Filmes!$A$2:$A$344, "")</f>
        <v>026</v>
      </c>
      <c r="F83" s="7" t="s">
        <v>401</v>
      </c>
      <c r="G83" s="17" t="s">
        <v>4139</v>
      </c>
      <c r="H83" s="17" t="s">
        <v>4140</v>
      </c>
      <c r="I83" s="19">
        <v>5.0</v>
      </c>
      <c r="J83" s="5"/>
      <c r="K83" s="5"/>
      <c r="L83" s="5" t="s">
        <v>65</v>
      </c>
      <c r="M83" s="5"/>
    </row>
    <row r="84" ht="15.75" customHeight="1">
      <c r="A84" s="14">
        <v>46299.0</v>
      </c>
      <c r="B84" s="5" t="s">
        <v>4136</v>
      </c>
      <c r="C84" s="15">
        <v>0.6666666666666666</v>
      </c>
      <c r="D84" s="5" t="s">
        <v>28</v>
      </c>
      <c r="E84" s="16" t="str">
        <f t="array" ref="E84">_xlfn.XLOOKUP(F84, Filmes!$D$2:$D$344, Filmes!$A$2:$A$344, "")</f>
        <v>026</v>
      </c>
      <c r="F84" s="7" t="s">
        <v>401</v>
      </c>
      <c r="G84" s="17" t="s">
        <v>4130</v>
      </c>
      <c r="H84" s="17" t="s">
        <v>4131</v>
      </c>
      <c r="I84" s="19">
        <v>2.0</v>
      </c>
      <c r="J84" s="5"/>
      <c r="K84" s="5"/>
      <c r="L84" s="5"/>
      <c r="M84" s="5"/>
    </row>
    <row r="85" ht="15.75" customHeight="1">
      <c r="A85" s="14">
        <v>46306.0</v>
      </c>
      <c r="B85" s="5" t="s">
        <v>4136</v>
      </c>
      <c r="C85" s="15">
        <v>0.5833333333333334</v>
      </c>
      <c r="D85" s="5" t="s">
        <v>28</v>
      </c>
      <c r="E85" s="16" t="str">
        <f t="array" ref="E85">_xlfn.XLOOKUP(F85, Filmes!$D$2:$D$344, Filmes!$A$2:$A$344, "")</f>
        <v>026</v>
      </c>
      <c r="F85" s="7" t="s">
        <v>401</v>
      </c>
      <c r="G85" s="17" t="s">
        <v>4133</v>
      </c>
      <c r="H85" s="17" t="s">
        <v>4134</v>
      </c>
      <c r="I85" s="19">
        <v>1.0</v>
      </c>
      <c r="J85" s="5"/>
      <c r="K85" s="5"/>
      <c r="L85" s="5"/>
      <c r="M85" s="5"/>
    </row>
    <row r="86" ht="15.75" customHeight="1">
      <c r="A86" s="14">
        <v>46296.0</v>
      </c>
      <c r="B86" s="5" t="s">
        <v>4124</v>
      </c>
      <c r="C86" s="15">
        <v>0.8958333333333334</v>
      </c>
      <c r="D86" s="5" t="s">
        <v>28</v>
      </c>
      <c r="E86" s="16" t="str">
        <f t="array" ref="E86">_xlfn.XLOOKUP(F86, Filmes!$D$2:$D$344, Filmes!$A$2:$A$344, "")</f>
        <v>027</v>
      </c>
      <c r="F86" s="7" t="s">
        <v>416</v>
      </c>
      <c r="G86" s="17" t="s">
        <v>4128</v>
      </c>
      <c r="H86" s="17" t="s">
        <v>4129</v>
      </c>
      <c r="I86" s="19">
        <v>2.0</v>
      </c>
      <c r="J86" s="5"/>
      <c r="K86" s="5"/>
      <c r="L86" s="5"/>
      <c r="M86" s="5"/>
    </row>
    <row r="87" ht="15.75" customHeight="1">
      <c r="A87" s="14">
        <v>46298.0</v>
      </c>
      <c r="B87" s="5" t="s">
        <v>4127</v>
      </c>
      <c r="C87" s="15">
        <v>0.7291666666666666</v>
      </c>
      <c r="D87" s="5" t="s">
        <v>28</v>
      </c>
      <c r="E87" s="16" t="str">
        <f t="array" ref="E87">_xlfn.XLOOKUP(F87, Filmes!$D$2:$D$344, Filmes!$A$2:$A$344, "")</f>
        <v>027</v>
      </c>
      <c r="F87" s="7" t="s">
        <v>416</v>
      </c>
      <c r="G87" s="17" t="s">
        <v>4133</v>
      </c>
      <c r="H87" s="17" t="s">
        <v>4134</v>
      </c>
      <c r="I87" s="19">
        <v>2.0</v>
      </c>
      <c r="J87" s="5"/>
      <c r="K87" s="5"/>
      <c r="L87" s="5"/>
      <c r="M87" s="5"/>
    </row>
    <row r="88" ht="15.75" customHeight="1">
      <c r="A88" s="14">
        <v>46302.0</v>
      </c>
      <c r="B88" s="5" t="s">
        <v>4143</v>
      </c>
      <c r="C88" s="15">
        <v>0.6666666666666666</v>
      </c>
      <c r="D88" s="5" t="s">
        <v>28</v>
      </c>
      <c r="E88" s="16" t="str">
        <f t="array" ref="E88">_xlfn.XLOOKUP(F88, Filmes!$D$2:$D$344, Filmes!$A$2:$A$344, "")</f>
        <v>027</v>
      </c>
      <c r="F88" s="7" t="s">
        <v>416</v>
      </c>
      <c r="G88" s="17" t="s">
        <v>4130</v>
      </c>
      <c r="H88" s="17" t="s">
        <v>4131</v>
      </c>
      <c r="I88" s="19">
        <v>4.0</v>
      </c>
      <c r="J88" s="5"/>
      <c r="K88" s="5"/>
      <c r="L88" s="5"/>
      <c r="M88" s="5"/>
    </row>
    <row r="89" ht="15.75" customHeight="1">
      <c r="A89" s="14">
        <v>46300.0</v>
      </c>
      <c r="B89" s="5" t="s">
        <v>4132</v>
      </c>
      <c r="C89" s="15">
        <v>0.7916666666666666</v>
      </c>
      <c r="D89" s="5" t="s">
        <v>28</v>
      </c>
      <c r="E89" s="16" t="str">
        <f t="array" ref="E89">_xlfn.XLOOKUP(F89, Filmes!$D$2:$D$344, Filmes!$A$2:$A$344, "")</f>
        <v>028</v>
      </c>
      <c r="F89" s="7" t="s">
        <v>432</v>
      </c>
      <c r="G89" s="17" t="s">
        <v>4125</v>
      </c>
      <c r="H89" s="17" t="s">
        <v>4126</v>
      </c>
      <c r="I89" s="19">
        <v>2.0</v>
      </c>
      <c r="J89" s="5"/>
      <c r="K89" s="5"/>
      <c r="L89" s="5"/>
      <c r="M89" s="5"/>
    </row>
    <row r="90" ht="15.75" customHeight="1">
      <c r="A90" s="14">
        <v>46302.0</v>
      </c>
      <c r="B90" s="5" t="s">
        <v>4143</v>
      </c>
      <c r="C90" s="15">
        <v>0.90625</v>
      </c>
      <c r="D90" s="5" t="s">
        <v>28</v>
      </c>
      <c r="E90" s="16" t="str">
        <f t="array" ref="E90">_xlfn.XLOOKUP(F90, Filmes!$D$2:$D$344, Filmes!$A$2:$A$344, "")</f>
        <v>028</v>
      </c>
      <c r="F90" s="7" t="s">
        <v>432</v>
      </c>
      <c r="G90" s="17" t="s">
        <v>4130</v>
      </c>
      <c r="H90" s="17" t="s">
        <v>4131</v>
      </c>
      <c r="I90" s="19">
        <v>6.0</v>
      </c>
      <c r="J90" s="5"/>
      <c r="K90" s="5"/>
      <c r="L90" s="5"/>
      <c r="M90" s="5"/>
    </row>
    <row r="91" ht="15.75" customHeight="1">
      <c r="A91" s="14">
        <v>46305.0</v>
      </c>
      <c r="B91" s="5" t="s">
        <v>4127</v>
      </c>
      <c r="C91" s="15">
        <v>0.6041666666666666</v>
      </c>
      <c r="D91" s="5" t="s">
        <v>28</v>
      </c>
      <c r="E91" s="16" t="str">
        <f t="array" ref="E91">_xlfn.XLOOKUP(F91, Filmes!$D$2:$D$344, Filmes!$A$2:$A$344, "")</f>
        <v>028</v>
      </c>
      <c r="F91" s="7" t="s">
        <v>432</v>
      </c>
      <c r="G91" s="17" t="s">
        <v>4128</v>
      </c>
      <c r="H91" s="17" t="s">
        <v>4129</v>
      </c>
      <c r="I91" s="19">
        <v>5.0</v>
      </c>
      <c r="J91" s="5"/>
      <c r="K91" s="5"/>
      <c r="L91" s="5"/>
      <c r="M91" s="5"/>
    </row>
    <row r="92" ht="15.75" customHeight="1">
      <c r="A92" s="14">
        <v>46298.0</v>
      </c>
      <c r="B92" s="5" t="s">
        <v>4127</v>
      </c>
      <c r="C92" s="15">
        <v>0.6875</v>
      </c>
      <c r="D92" s="5" t="s">
        <v>28</v>
      </c>
      <c r="E92" s="16" t="str">
        <f t="array" ref="E92">_xlfn.XLOOKUP(F92, Filmes!$D$2:$D$344, Filmes!$A$2:$A$344, "")</f>
        <v>029</v>
      </c>
      <c r="F92" s="7" t="s">
        <v>447</v>
      </c>
      <c r="G92" s="17" t="s">
        <v>4130</v>
      </c>
      <c r="H92" s="17" t="s">
        <v>4131</v>
      </c>
      <c r="I92" s="19">
        <v>6.0</v>
      </c>
      <c r="J92" s="5"/>
      <c r="K92" s="5"/>
      <c r="L92" s="5"/>
      <c r="M92" s="5"/>
    </row>
    <row r="93" ht="15.75" customHeight="1">
      <c r="A93" s="14">
        <v>46300.0</v>
      </c>
      <c r="B93" s="5" t="s">
        <v>4132</v>
      </c>
      <c r="C93" s="15">
        <v>0.8958333333333334</v>
      </c>
      <c r="D93" s="5" t="s">
        <v>28</v>
      </c>
      <c r="E93" s="16" t="str">
        <f t="array" ref="E93">_xlfn.XLOOKUP(F93, Filmes!$D$2:$D$344, Filmes!$A$2:$A$344, "")</f>
        <v>029</v>
      </c>
      <c r="F93" s="7" t="s">
        <v>447</v>
      </c>
      <c r="G93" s="17" t="s">
        <v>4125</v>
      </c>
      <c r="H93" s="17" t="s">
        <v>4126</v>
      </c>
      <c r="I93" s="19">
        <v>2.0</v>
      </c>
      <c r="J93" s="5"/>
      <c r="K93" s="5"/>
      <c r="L93" s="5"/>
      <c r="M93" s="5"/>
    </row>
    <row r="94" ht="15.75" customHeight="1">
      <c r="A94" s="14">
        <v>46304.0</v>
      </c>
      <c r="B94" s="5" t="s">
        <v>4135</v>
      </c>
      <c r="C94" s="15">
        <v>0.8229166666666666</v>
      </c>
      <c r="D94" s="5" t="s">
        <v>28</v>
      </c>
      <c r="E94" s="16" t="str">
        <f t="array" ref="E94">_xlfn.XLOOKUP(F94, Filmes!$D$2:$D$344, Filmes!$A$2:$A$344, "")</f>
        <v>029</v>
      </c>
      <c r="F94" s="7" t="s">
        <v>447</v>
      </c>
      <c r="G94" s="17" t="s">
        <v>4133</v>
      </c>
      <c r="H94" s="17" t="s">
        <v>4134</v>
      </c>
      <c r="I94" s="19">
        <v>2.0</v>
      </c>
      <c r="J94" s="5"/>
      <c r="K94" s="5"/>
      <c r="L94" s="5"/>
      <c r="M94" s="5"/>
    </row>
    <row r="95" ht="15.75" customHeight="1">
      <c r="A95" s="14">
        <v>46301.0</v>
      </c>
      <c r="B95" s="5" t="s">
        <v>4121</v>
      </c>
      <c r="C95" s="15">
        <v>0.8020833333333334</v>
      </c>
      <c r="D95" s="5" t="s">
        <v>28</v>
      </c>
      <c r="E95" s="16" t="str">
        <f t="array" ref="E95">_xlfn.XLOOKUP(F95, Filmes!$D$2:$D$344, Filmes!$A$2:$A$344, "")</f>
        <v>030</v>
      </c>
      <c r="F95" s="7" t="s">
        <v>462</v>
      </c>
      <c r="G95" s="17" t="s">
        <v>4139</v>
      </c>
      <c r="H95" s="17" t="s">
        <v>4140</v>
      </c>
      <c r="I95" s="19">
        <v>3.0</v>
      </c>
      <c r="J95" s="5"/>
      <c r="K95" s="5"/>
      <c r="L95" s="5" t="s">
        <v>65</v>
      </c>
      <c r="M95" s="5"/>
    </row>
    <row r="96" ht="15.75" customHeight="1">
      <c r="A96" s="14">
        <v>46304.0</v>
      </c>
      <c r="B96" s="5" t="s">
        <v>4135</v>
      </c>
      <c r="C96" s="15">
        <v>0.8958333333333334</v>
      </c>
      <c r="D96" s="5" t="s">
        <v>28</v>
      </c>
      <c r="E96" s="16" t="str">
        <f t="array" ref="E96">_xlfn.XLOOKUP(F96, Filmes!$D$2:$D$344, Filmes!$A$2:$A$344, "")</f>
        <v>030</v>
      </c>
      <c r="F96" s="7" t="s">
        <v>462</v>
      </c>
      <c r="G96" s="17" t="s">
        <v>4130</v>
      </c>
      <c r="H96" s="17" t="s">
        <v>4131</v>
      </c>
      <c r="I96" s="19">
        <v>1.0</v>
      </c>
      <c r="J96" s="5"/>
      <c r="K96" s="5"/>
      <c r="L96" s="5"/>
      <c r="M96" s="5"/>
    </row>
    <row r="97" ht="15.75" customHeight="1">
      <c r="A97" s="14">
        <v>46306.0</v>
      </c>
      <c r="B97" s="5" t="s">
        <v>4136</v>
      </c>
      <c r="C97" s="15">
        <v>0.5729166666666666</v>
      </c>
      <c r="D97" s="5" t="s">
        <v>28</v>
      </c>
      <c r="E97" s="16" t="str">
        <f t="array" ref="E97">_xlfn.XLOOKUP(F97, Filmes!$D$2:$D$344, Filmes!$A$2:$A$344, "")</f>
        <v>030</v>
      </c>
      <c r="F97" s="7" t="s">
        <v>462</v>
      </c>
      <c r="G97" s="17" t="s">
        <v>4141</v>
      </c>
      <c r="H97" s="17" t="s">
        <v>4142</v>
      </c>
      <c r="I97" s="18"/>
      <c r="J97" s="5"/>
      <c r="K97" s="5"/>
      <c r="L97" s="5"/>
      <c r="M97" s="5"/>
    </row>
    <row r="98" ht="15.75" customHeight="1">
      <c r="A98" s="14">
        <v>46296.0</v>
      </c>
      <c r="B98" s="5" t="s">
        <v>4124</v>
      </c>
      <c r="C98" s="15">
        <v>0.78125</v>
      </c>
      <c r="D98" s="5" t="s">
        <v>28</v>
      </c>
      <c r="E98" s="16" t="str">
        <f t="array" ref="E98">_xlfn.XLOOKUP(F98, Filmes!$D$2:$D$344, Filmes!$A$2:$A$344, "")</f>
        <v>031</v>
      </c>
      <c r="F98" s="7" t="s">
        <v>478</v>
      </c>
      <c r="G98" s="17" t="s">
        <v>4130</v>
      </c>
      <c r="H98" s="17" t="s">
        <v>4131</v>
      </c>
      <c r="I98" s="19">
        <v>5.0</v>
      </c>
      <c r="J98" s="5"/>
      <c r="K98" s="5"/>
      <c r="L98" s="5"/>
      <c r="M98" s="5"/>
    </row>
    <row r="99" ht="15.75" customHeight="1">
      <c r="A99" s="14">
        <v>46300.0</v>
      </c>
      <c r="B99" s="5" t="s">
        <v>4132</v>
      </c>
      <c r="C99" s="15">
        <v>0.6875</v>
      </c>
      <c r="D99" s="5" t="s">
        <v>28</v>
      </c>
      <c r="E99" s="16" t="str">
        <f t="array" ref="E99">_xlfn.XLOOKUP(F99, Filmes!$D$2:$D$344, Filmes!$A$2:$A$344, "")</f>
        <v>031</v>
      </c>
      <c r="F99" s="7" t="s">
        <v>478</v>
      </c>
      <c r="G99" s="17" t="s">
        <v>4139</v>
      </c>
      <c r="H99" s="17" t="s">
        <v>4140</v>
      </c>
      <c r="I99" s="19">
        <v>3.0</v>
      </c>
      <c r="J99" s="5"/>
      <c r="K99" s="5"/>
      <c r="L99" s="5"/>
      <c r="M99" s="5"/>
    </row>
    <row r="100" ht="15.75" customHeight="1">
      <c r="A100" s="14">
        <v>46305.0</v>
      </c>
      <c r="B100" s="5" t="s">
        <v>4127</v>
      </c>
      <c r="C100" s="15">
        <v>0.84375</v>
      </c>
      <c r="D100" s="5" t="s">
        <v>28</v>
      </c>
      <c r="E100" s="16" t="str">
        <f t="array" ref="E100">_xlfn.XLOOKUP(F100, Filmes!$D$2:$D$344, Filmes!$A$2:$A$344, "")</f>
        <v>031</v>
      </c>
      <c r="F100" s="7" t="s">
        <v>478</v>
      </c>
      <c r="G100" s="17" t="s">
        <v>4133</v>
      </c>
      <c r="H100" s="17" t="s">
        <v>4134</v>
      </c>
      <c r="I100" s="19">
        <v>1.0</v>
      </c>
      <c r="J100" s="5"/>
      <c r="K100" s="5"/>
      <c r="L100" s="5"/>
      <c r="M100" s="5"/>
    </row>
    <row r="101" ht="15.75" customHeight="1">
      <c r="A101" s="14">
        <v>46296.0</v>
      </c>
      <c r="B101" s="5" t="s">
        <v>4124</v>
      </c>
      <c r="C101" s="15">
        <v>0.5625</v>
      </c>
      <c r="D101" s="5" t="s">
        <v>28</v>
      </c>
      <c r="E101" s="16" t="str">
        <f t="array" ref="E101">_xlfn.XLOOKUP(F101, Filmes!$D$2:$D$344, Filmes!$A$2:$A$344, "")</f>
        <v>032</v>
      </c>
      <c r="F101" s="7" t="s">
        <v>485</v>
      </c>
      <c r="G101" s="17" t="s">
        <v>4133</v>
      </c>
      <c r="H101" s="17" t="s">
        <v>4134</v>
      </c>
      <c r="I101" s="19">
        <v>2.0</v>
      </c>
      <c r="J101" s="5"/>
      <c r="K101" s="5"/>
      <c r="L101" s="5"/>
      <c r="M101" s="5"/>
    </row>
    <row r="102" ht="15.75" customHeight="1">
      <c r="A102" s="14">
        <v>46300.0</v>
      </c>
      <c r="B102" s="5" t="s">
        <v>4132</v>
      </c>
      <c r="C102" s="15">
        <v>0.7708333333333334</v>
      </c>
      <c r="D102" s="5" t="s">
        <v>28</v>
      </c>
      <c r="E102" s="16" t="str">
        <f t="array" ref="E102">_xlfn.XLOOKUP(F102, Filmes!$D$2:$D$344, Filmes!$A$2:$A$344, "")</f>
        <v>032</v>
      </c>
      <c r="F102" s="7" t="s">
        <v>485</v>
      </c>
      <c r="G102" s="17" t="s">
        <v>4139</v>
      </c>
      <c r="H102" s="17" t="s">
        <v>4140</v>
      </c>
      <c r="I102" s="19">
        <v>4.0</v>
      </c>
      <c r="J102" s="5"/>
      <c r="K102" s="5"/>
      <c r="L102" s="5"/>
      <c r="M102" s="5"/>
    </row>
    <row r="103" ht="15.75" customHeight="1">
      <c r="A103" s="14">
        <v>46306.0</v>
      </c>
      <c r="B103" s="5" t="s">
        <v>4136</v>
      </c>
      <c r="C103" s="15">
        <v>0.6770833333333334</v>
      </c>
      <c r="D103" s="5" t="s">
        <v>28</v>
      </c>
      <c r="E103" s="16" t="str">
        <f t="array" ref="E103">_xlfn.XLOOKUP(F103, Filmes!$D$2:$D$344, Filmes!$A$2:$A$344, "")</f>
        <v>032</v>
      </c>
      <c r="F103" s="7" t="s">
        <v>485</v>
      </c>
      <c r="G103" s="17" t="s">
        <v>4130</v>
      </c>
      <c r="H103" s="17" t="s">
        <v>4131</v>
      </c>
      <c r="I103" s="19">
        <v>3.0</v>
      </c>
      <c r="J103" s="5"/>
      <c r="K103" s="5"/>
      <c r="L103" s="5"/>
      <c r="M103" s="5"/>
    </row>
    <row r="104" ht="15.75" customHeight="1">
      <c r="A104" s="14">
        <v>46297.0</v>
      </c>
      <c r="B104" s="5" t="s">
        <v>4135</v>
      </c>
      <c r="C104" s="15">
        <v>0.6875</v>
      </c>
      <c r="D104" s="5" t="s">
        <v>28</v>
      </c>
      <c r="E104" s="16" t="str">
        <f t="array" ref="E104">_xlfn.XLOOKUP(F104, Filmes!$D$2:$D$344, Filmes!$A$2:$A$344, "")</f>
        <v>033</v>
      </c>
      <c r="F104" s="7" t="s">
        <v>500</v>
      </c>
      <c r="G104" s="17" t="s">
        <v>4125</v>
      </c>
      <c r="H104" s="17" t="s">
        <v>4126</v>
      </c>
      <c r="I104" s="19">
        <v>2.0</v>
      </c>
      <c r="J104" s="5"/>
      <c r="K104" s="5"/>
      <c r="L104" s="5"/>
      <c r="M104" s="5"/>
    </row>
    <row r="105" ht="15.75" customHeight="1">
      <c r="A105" s="14">
        <v>46300.0</v>
      </c>
      <c r="B105" s="5" t="s">
        <v>4132</v>
      </c>
      <c r="C105" s="15">
        <v>0.875</v>
      </c>
      <c r="D105" s="5" t="s">
        <v>28</v>
      </c>
      <c r="E105" s="16" t="str">
        <f t="array" ref="E105">_xlfn.XLOOKUP(F105, Filmes!$D$2:$D$344, Filmes!$A$2:$A$344, "")</f>
        <v>033</v>
      </c>
      <c r="F105" s="7" t="s">
        <v>500</v>
      </c>
      <c r="G105" s="17" t="s">
        <v>4130</v>
      </c>
      <c r="H105" s="17" t="s">
        <v>4131</v>
      </c>
      <c r="I105" s="19">
        <v>6.0</v>
      </c>
      <c r="J105" s="5"/>
      <c r="K105" s="5"/>
      <c r="L105" s="5"/>
      <c r="M105" s="5"/>
    </row>
    <row r="106" ht="15.75" customHeight="1">
      <c r="A106" s="14">
        <v>46306.0</v>
      </c>
      <c r="B106" s="5" t="s">
        <v>4136</v>
      </c>
      <c r="C106" s="15">
        <v>0.8020833333333334</v>
      </c>
      <c r="D106" s="5" t="s">
        <v>28</v>
      </c>
      <c r="E106" s="16" t="str">
        <f t="array" ref="E106">_xlfn.XLOOKUP(F106, Filmes!$D$2:$D$344, Filmes!$A$2:$A$344, "")</f>
        <v>033</v>
      </c>
      <c r="F106" s="7" t="s">
        <v>500</v>
      </c>
      <c r="G106" s="17" t="s">
        <v>4128</v>
      </c>
      <c r="H106" s="17" t="s">
        <v>4129</v>
      </c>
      <c r="I106" s="19">
        <v>4.0</v>
      </c>
      <c r="J106" s="5"/>
      <c r="K106" s="5"/>
      <c r="L106" s="5"/>
      <c r="M106" s="5"/>
    </row>
    <row r="107" ht="15.75" customHeight="1">
      <c r="A107" s="14">
        <v>46296.0</v>
      </c>
      <c r="B107" s="5" t="s">
        <v>4124</v>
      </c>
      <c r="C107" s="15">
        <v>0.6944444444444444</v>
      </c>
      <c r="D107" s="5" t="s">
        <v>28</v>
      </c>
      <c r="E107" s="16" t="str">
        <f t="array" ref="E107">_xlfn.XLOOKUP(F107, Filmes!$D$2:$D$344, Filmes!$A$2:$A$344, "")</f>
        <v>034</v>
      </c>
      <c r="F107" s="7" t="s">
        <v>515</v>
      </c>
      <c r="G107" s="17" t="s">
        <v>4137</v>
      </c>
      <c r="H107" s="17" t="s">
        <v>4138</v>
      </c>
      <c r="I107" s="19">
        <v>1.0</v>
      </c>
      <c r="J107" s="5"/>
      <c r="K107" s="5"/>
      <c r="L107" s="5"/>
      <c r="M107" s="5"/>
    </row>
    <row r="108" ht="15.75" customHeight="1">
      <c r="A108" s="14">
        <v>46299.0</v>
      </c>
      <c r="B108" s="5" t="s">
        <v>4136</v>
      </c>
      <c r="C108" s="15">
        <v>0.875</v>
      </c>
      <c r="D108" s="5" t="s">
        <v>28</v>
      </c>
      <c r="E108" s="16" t="str">
        <f t="array" ref="E108">_xlfn.XLOOKUP(F108, Filmes!$D$2:$D$344, Filmes!$A$2:$A$344, "")</f>
        <v>034</v>
      </c>
      <c r="F108" s="7" t="s">
        <v>515</v>
      </c>
      <c r="G108" s="17" t="s">
        <v>4130</v>
      </c>
      <c r="H108" s="17" t="s">
        <v>4131</v>
      </c>
      <c r="I108" s="19">
        <v>2.0</v>
      </c>
      <c r="J108" s="5"/>
      <c r="K108" s="5"/>
      <c r="L108" s="5"/>
      <c r="M108" s="5"/>
    </row>
    <row r="109" ht="15.75" customHeight="1">
      <c r="A109" s="14">
        <v>46305.0</v>
      </c>
      <c r="B109" s="5" t="s">
        <v>4127</v>
      </c>
      <c r="C109" s="15">
        <v>0.8020833333333334</v>
      </c>
      <c r="D109" s="5" t="s">
        <v>28</v>
      </c>
      <c r="E109" s="16" t="str">
        <f t="array" ref="E109">_xlfn.XLOOKUP(F109, Filmes!$D$2:$D$344, Filmes!$A$2:$A$344, "")</f>
        <v>034</v>
      </c>
      <c r="F109" s="7" t="s">
        <v>515</v>
      </c>
      <c r="G109" s="17" t="s">
        <v>4128</v>
      </c>
      <c r="H109" s="17" t="s">
        <v>4129</v>
      </c>
      <c r="I109" s="19">
        <v>4.0</v>
      </c>
      <c r="J109" s="5"/>
      <c r="K109" s="5"/>
      <c r="L109" s="5"/>
      <c r="M109" s="5"/>
    </row>
    <row r="110" ht="15.75" customHeight="1">
      <c r="A110" s="14">
        <v>46299.0</v>
      </c>
      <c r="B110" s="5" t="s">
        <v>4136</v>
      </c>
      <c r="C110" s="15">
        <v>0.59375</v>
      </c>
      <c r="D110" s="5" t="s">
        <v>28</v>
      </c>
      <c r="E110" s="16" t="str">
        <f t="array" ref="E110">_xlfn.XLOOKUP(F110, Filmes!$D$2:$D$344, Filmes!$A$2:$A$344, "")</f>
        <v>035</v>
      </c>
      <c r="F110" s="7" t="s">
        <v>531</v>
      </c>
      <c r="G110" s="17" t="s">
        <v>4130</v>
      </c>
      <c r="H110" s="17" t="s">
        <v>4131</v>
      </c>
      <c r="I110" s="19">
        <v>6.0</v>
      </c>
      <c r="J110" s="5"/>
      <c r="K110" s="5"/>
      <c r="L110" s="5"/>
      <c r="M110" s="5"/>
    </row>
    <row r="111" ht="15.75" customHeight="1">
      <c r="A111" s="14">
        <v>46300.0</v>
      </c>
      <c r="B111" s="5" t="s">
        <v>4132</v>
      </c>
      <c r="C111" s="15">
        <v>0.8854166666666666</v>
      </c>
      <c r="D111" s="5" t="s">
        <v>28</v>
      </c>
      <c r="E111" s="16" t="str">
        <f t="array" ref="E111">_xlfn.XLOOKUP(F111, Filmes!$D$2:$D$344, Filmes!$A$2:$A$344, "")</f>
        <v>035</v>
      </c>
      <c r="F111" s="7" t="s">
        <v>531</v>
      </c>
      <c r="G111" s="17" t="s">
        <v>4137</v>
      </c>
      <c r="H111" s="17" t="s">
        <v>4138</v>
      </c>
      <c r="I111" s="19">
        <v>1.0</v>
      </c>
      <c r="J111" s="5"/>
      <c r="K111" s="5"/>
      <c r="L111" s="5"/>
      <c r="M111" s="5"/>
    </row>
    <row r="112" ht="15.75" customHeight="1">
      <c r="A112" s="14">
        <v>46302.0</v>
      </c>
      <c r="B112" s="5" t="s">
        <v>4143</v>
      </c>
      <c r="C112" s="15">
        <v>0.6770833333333334</v>
      </c>
      <c r="D112" s="5" t="s">
        <v>28</v>
      </c>
      <c r="E112" s="16" t="str">
        <f t="array" ref="E112">_xlfn.XLOOKUP(F112, Filmes!$D$2:$D$344, Filmes!$A$2:$A$344, "")</f>
        <v>035</v>
      </c>
      <c r="F112" s="7" t="s">
        <v>531</v>
      </c>
      <c r="G112" s="17" t="s">
        <v>4128</v>
      </c>
      <c r="H112" s="17" t="s">
        <v>4129</v>
      </c>
      <c r="I112" s="19">
        <v>3.0</v>
      </c>
      <c r="J112" s="5"/>
      <c r="K112" s="5"/>
      <c r="L112" s="5"/>
      <c r="M112" s="5"/>
    </row>
    <row r="113" ht="15.75" customHeight="1">
      <c r="A113" s="14">
        <v>46296.0</v>
      </c>
      <c r="B113" s="5" t="s">
        <v>4124</v>
      </c>
      <c r="C113" s="15">
        <v>0.7083333333333334</v>
      </c>
      <c r="D113" s="5" t="s">
        <v>28</v>
      </c>
      <c r="E113" s="16" t="str">
        <f t="array" ref="E113">_xlfn.XLOOKUP(F113, Filmes!$D$2:$D$344, Filmes!$A$2:$A$344, "")</f>
        <v>036</v>
      </c>
      <c r="F113" s="7" t="s">
        <v>544</v>
      </c>
      <c r="G113" s="17" t="s">
        <v>4128</v>
      </c>
      <c r="H113" s="17" t="s">
        <v>4129</v>
      </c>
      <c r="I113" s="19">
        <v>5.0</v>
      </c>
      <c r="J113" s="5"/>
      <c r="K113" s="5"/>
      <c r="L113" s="5"/>
      <c r="M113" s="5"/>
    </row>
    <row r="114" ht="15.75" customHeight="1">
      <c r="A114" s="14">
        <v>46299.0</v>
      </c>
      <c r="B114" s="5" t="s">
        <v>4136</v>
      </c>
      <c r="C114" s="15">
        <v>0.8854166666666666</v>
      </c>
      <c r="D114" s="5" t="s">
        <v>28</v>
      </c>
      <c r="E114" s="16" t="str">
        <f t="array" ref="E114">_xlfn.XLOOKUP(F114, Filmes!$D$2:$D$344, Filmes!$A$2:$A$344, "")</f>
        <v>036</v>
      </c>
      <c r="F114" s="7" t="s">
        <v>544</v>
      </c>
      <c r="G114" s="17" t="s">
        <v>4137</v>
      </c>
      <c r="H114" s="17" t="s">
        <v>4138</v>
      </c>
      <c r="I114" s="19">
        <v>1.0</v>
      </c>
      <c r="J114" s="5"/>
      <c r="K114" s="5"/>
      <c r="L114" s="5"/>
      <c r="M114" s="5"/>
    </row>
    <row r="115" ht="15.75" customHeight="1">
      <c r="A115" s="14">
        <v>46303.0</v>
      </c>
      <c r="B115" s="5" t="s">
        <v>4124</v>
      </c>
      <c r="C115" s="15">
        <v>0.59375</v>
      </c>
      <c r="D115" s="5" t="s">
        <v>28</v>
      </c>
      <c r="E115" s="16" t="str">
        <f t="array" ref="E115">_xlfn.XLOOKUP(F115, Filmes!$D$2:$D$344, Filmes!$A$2:$A$344, "")</f>
        <v>036</v>
      </c>
      <c r="F115" s="7" t="s">
        <v>544</v>
      </c>
      <c r="G115" s="17" t="s">
        <v>4130</v>
      </c>
      <c r="H115" s="17" t="s">
        <v>4131</v>
      </c>
      <c r="I115" s="19">
        <v>6.0</v>
      </c>
      <c r="J115" s="5"/>
      <c r="K115" s="5"/>
      <c r="L115" s="5"/>
      <c r="M115" s="5"/>
    </row>
    <row r="116" ht="15.75" customHeight="1">
      <c r="A116" s="14">
        <v>46306.0</v>
      </c>
      <c r="B116" s="5" t="s">
        <v>4136</v>
      </c>
      <c r="C116" s="15">
        <v>0.7916666666666666</v>
      </c>
      <c r="D116" s="5" t="s">
        <v>28</v>
      </c>
      <c r="E116" s="16" t="str">
        <f t="array" ref="E116">_xlfn.XLOOKUP(F116, Filmes!$D$2:$D$344, Filmes!$A$2:$A$344, "")</f>
        <v>036</v>
      </c>
      <c r="F116" s="7" t="s">
        <v>544</v>
      </c>
      <c r="G116" s="17" t="s">
        <v>4125</v>
      </c>
      <c r="H116" s="17" t="s">
        <v>4126</v>
      </c>
      <c r="I116" s="19">
        <v>2.0</v>
      </c>
      <c r="J116" s="5"/>
      <c r="K116" s="5"/>
      <c r="L116" s="5"/>
      <c r="M116" s="5"/>
    </row>
    <row r="117" ht="15.75" customHeight="1">
      <c r="A117" s="14">
        <v>46298.0</v>
      </c>
      <c r="B117" s="5" t="s">
        <v>4127</v>
      </c>
      <c r="C117" s="15">
        <v>0.8229166666666666</v>
      </c>
      <c r="D117" s="5" t="s">
        <v>28</v>
      </c>
      <c r="E117" s="16" t="str">
        <f t="array" ref="E117">_xlfn.XLOOKUP(F117, Filmes!$D$2:$D$344, Filmes!$A$2:$A$344, "")</f>
        <v>037</v>
      </c>
      <c r="F117" s="7" t="s">
        <v>556</v>
      </c>
      <c r="G117" s="17" t="s">
        <v>4122</v>
      </c>
      <c r="H117" s="17" t="s">
        <v>4123</v>
      </c>
      <c r="I117" s="18"/>
      <c r="J117" s="5"/>
      <c r="K117" s="5"/>
      <c r="L117" s="5"/>
      <c r="M117" s="5"/>
    </row>
    <row r="118" ht="15.75" customHeight="1">
      <c r="A118" s="14">
        <v>46301.0</v>
      </c>
      <c r="B118" s="5" t="s">
        <v>4121</v>
      </c>
      <c r="C118" s="15">
        <v>0.59375</v>
      </c>
      <c r="D118" s="5" t="s">
        <v>28</v>
      </c>
      <c r="E118" s="16" t="str">
        <f t="array" ref="E118">_xlfn.XLOOKUP(F118, Filmes!$D$2:$D$344, Filmes!$A$2:$A$344, "")</f>
        <v>037</v>
      </c>
      <c r="F118" s="7" t="s">
        <v>556</v>
      </c>
      <c r="G118" s="17" t="s">
        <v>4130</v>
      </c>
      <c r="H118" s="17" t="s">
        <v>4131</v>
      </c>
      <c r="I118" s="19">
        <v>6.0</v>
      </c>
      <c r="J118" s="5"/>
      <c r="K118" s="5"/>
      <c r="L118" s="5"/>
      <c r="M118" s="5"/>
    </row>
    <row r="119" ht="15.75" customHeight="1">
      <c r="A119" s="14">
        <v>46302.0</v>
      </c>
      <c r="B119" s="5" t="s">
        <v>4143</v>
      </c>
      <c r="C119" s="15">
        <v>0.6944444444444444</v>
      </c>
      <c r="D119" s="5" t="s">
        <v>28</v>
      </c>
      <c r="E119" s="16" t="str">
        <f t="array" ref="E119">_xlfn.XLOOKUP(F119, Filmes!$D$2:$D$344, Filmes!$A$2:$A$344, "")</f>
        <v>037</v>
      </c>
      <c r="F119" s="7" t="s">
        <v>556</v>
      </c>
      <c r="G119" s="17" t="s">
        <v>4137</v>
      </c>
      <c r="H119" s="17" t="s">
        <v>4138</v>
      </c>
      <c r="I119" s="19">
        <v>1.0</v>
      </c>
      <c r="J119" s="5"/>
      <c r="K119" s="5"/>
      <c r="L119" s="5"/>
      <c r="M119" s="5"/>
    </row>
    <row r="120" ht="15.75" customHeight="1">
      <c r="A120" s="14">
        <v>46305.0</v>
      </c>
      <c r="B120" s="5" t="s">
        <v>4127</v>
      </c>
      <c r="C120" s="15">
        <v>0.8020833333333334</v>
      </c>
      <c r="D120" s="5" t="s">
        <v>28</v>
      </c>
      <c r="E120" s="16" t="str">
        <f t="array" ref="E120">_xlfn.XLOOKUP(F120, Filmes!$D$2:$D$344, Filmes!$A$2:$A$344, "")</f>
        <v>037</v>
      </c>
      <c r="F120" s="7" t="s">
        <v>556</v>
      </c>
      <c r="G120" s="17" t="s">
        <v>4128</v>
      </c>
      <c r="H120" s="17" t="s">
        <v>4129</v>
      </c>
      <c r="I120" s="19">
        <v>5.0</v>
      </c>
      <c r="J120" s="5"/>
      <c r="K120" s="5"/>
      <c r="L120" s="5"/>
      <c r="M120" s="5"/>
    </row>
    <row r="121" ht="15.75" customHeight="1">
      <c r="A121" s="14">
        <v>46304.0</v>
      </c>
      <c r="B121" s="5" t="s">
        <v>4135</v>
      </c>
      <c r="C121" s="15">
        <v>0.8854166666666666</v>
      </c>
      <c r="D121" s="5" t="s">
        <v>28</v>
      </c>
      <c r="E121" s="16" t="str">
        <f t="array" ref="E121">_xlfn.XLOOKUP(F121, Filmes!$D$2:$D$344, Filmes!$A$2:$A$344, "")</f>
        <v>038</v>
      </c>
      <c r="F121" s="7" t="s">
        <v>571</v>
      </c>
      <c r="G121" s="17" t="s">
        <v>4130</v>
      </c>
      <c r="H121" s="17" t="s">
        <v>4131</v>
      </c>
      <c r="I121" s="19">
        <v>3.0</v>
      </c>
      <c r="J121" s="5"/>
      <c r="K121" s="5"/>
      <c r="L121" s="5" t="s">
        <v>65</v>
      </c>
      <c r="M121" s="5"/>
    </row>
    <row r="122" ht="15.75" customHeight="1">
      <c r="A122" s="14">
        <v>46305.0</v>
      </c>
      <c r="B122" s="5" t="s">
        <v>4127</v>
      </c>
      <c r="C122" s="15">
        <v>0.5729166666666666</v>
      </c>
      <c r="D122" s="5" t="s">
        <v>28</v>
      </c>
      <c r="E122" s="16" t="str">
        <f t="array" ref="E122">_xlfn.XLOOKUP(F122, Filmes!$D$2:$D$344, Filmes!$A$2:$A$344, "")</f>
        <v>038</v>
      </c>
      <c r="F122" s="7" t="s">
        <v>571</v>
      </c>
      <c r="G122" s="17" t="s">
        <v>4133</v>
      </c>
      <c r="H122" s="17" t="s">
        <v>4134</v>
      </c>
      <c r="I122" s="19">
        <v>2.0</v>
      </c>
      <c r="J122" s="5"/>
      <c r="K122" s="5"/>
      <c r="L122" s="5"/>
      <c r="M122" s="5"/>
    </row>
    <row r="123" ht="15.75" customHeight="1">
      <c r="A123" s="14">
        <v>46307.0</v>
      </c>
      <c r="B123" s="5" t="s">
        <v>4132</v>
      </c>
      <c r="C123" s="15">
        <v>0.90625</v>
      </c>
      <c r="D123" s="5" t="s">
        <v>28</v>
      </c>
      <c r="E123" s="16" t="str">
        <f t="array" ref="E123">_xlfn.XLOOKUP(F123, Filmes!$D$2:$D$344, Filmes!$A$2:$A$344, "")</f>
        <v>038</v>
      </c>
      <c r="F123" s="7" t="s">
        <v>571</v>
      </c>
      <c r="G123" s="17" t="s">
        <v>4128</v>
      </c>
      <c r="H123" s="17" t="s">
        <v>4129</v>
      </c>
      <c r="I123" s="19">
        <v>5.0</v>
      </c>
      <c r="J123" s="5"/>
      <c r="K123" s="5"/>
      <c r="L123" s="5"/>
      <c r="M123" s="5"/>
    </row>
    <row r="124" ht="15.75" customHeight="1">
      <c r="A124" s="14">
        <v>46297.0</v>
      </c>
      <c r="B124" s="5" t="s">
        <v>4135</v>
      </c>
      <c r="C124" s="15">
        <v>0.8645833333333334</v>
      </c>
      <c r="D124" s="5" t="s">
        <v>28</v>
      </c>
      <c r="E124" s="16" t="str">
        <f t="array" ref="E124">_xlfn.XLOOKUP(F124, Filmes!$D$2:$D$344, Filmes!$A$2:$A$344, "")</f>
        <v>039</v>
      </c>
      <c r="F124" s="7" t="s">
        <v>587</v>
      </c>
      <c r="G124" s="17" t="s">
        <v>4128</v>
      </c>
      <c r="H124" s="17" t="s">
        <v>4129</v>
      </c>
      <c r="I124" s="19">
        <v>3.0</v>
      </c>
      <c r="J124" s="5"/>
      <c r="K124" s="5"/>
      <c r="L124" s="5"/>
      <c r="M124" s="5"/>
    </row>
    <row r="125" ht="15.75" customHeight="1">
      <c r="A125" s="14">
        <v>46299.0</v>
      </c>
      <c r="B125" s="5" t="s">
        <v>4136</v>
      </c>
      <c r="C125" s="15">
        <v>0.6875</v>
      </c>
      <c r="D125" s="5" t="s">
        <v>28</v>
      </c>
      <c r="E125" s="16" t="str">
        <f t="array" ref="E125">_xlfn.XLOOKUP(F125, Filmes!$D$2:$D$344, Filmes!$A$2:$A$344, "")</f>
        <v>039</v>
      </c>
      <c r="F125" s="7" t="s">
        <v>587</v>
      </c>
      <c r="G125" s="17" t="s">
        <v>4130</v>
      </c>
      <c r="H125" s="17" t="s">
        <v>4131</v>
      </c>
      <c r="I125" s="19">
        <v>1.0</v>
      </c>
      <c r="J125" s="5"/>
      <c r="K125" s="5"/>
      <c r="L125" s="5"/>
      <c r="M125" s="5"/>
    </row>
    <row r="126" ht="15.75" customHeight="1">
      <c r="A126" s="14">
        <v>46302.0</v>
      </c>
      <c r="B126" s="5" t="s">
        <v>4143</v>
      </c>
      <c r="C126" s="15">
        <v>0.7916666666666666</v>
      </c>
      <c r="D126" s="5" t="s">
        <v>28</v>
      </c>
      <c r="E126" s="16" t="str">
        <f t="array" ref="E126">_xlfn.XLOOKUP(F126, Filmes!$D$2:$D$344, Filmes!$A$2:$A$344, "")</f>
        <v>039</v>
      </c>
      <c r="F126" s="7" t="s">
        <v>587</v>
      </c>
      <c r="G126" s="17" t="s">
        <v>4137</v>
      </c>
      <c r="H126" s="17" t="s">
        <v>4138</v>
      </c>
      <c r="I126" s="19">
        <v>1.0</v>
      </c>
      <c r="J126" s="5"/>
      <c r="K126" s="5"/>
      <c r="L126" s="5"/>
      <c r="M126" s="5"/>
    </row>
    <row r="127" ht="15.75" customHeight="1">
      <c r="A127" s="14">
        <v>46304.0</v>
      </c>
      <c r="B127" s="5" t="s">
        <v>4135</v>
      </c>
      <c r="C127" s="15">
        <v>0.7604166666666666</v>
      </c>
      <c r="D127" s="5" t="s">
        <v>28</v>
      </c>
      <c r="E127" s="16" t="str">
        <f t="array" ref="E127">_xlfn.XLOOKUP(F127, Filmes!$D$2:$D$344, Filmes!$A$2:$A$344, "")</f>
        <v>039</v>
      </c>
      <c r="F127" s="7" t="s">
        <v>587</v>
      </c>
      <c r="G127" s="17" t="s">
        <v>4141</v>
      </c>
      <c r="H127" s="17" t="s">
        <v>4142</v>
      </c>
      <c r="I127" s="18"/>
      <c r="J127" s="5"/>
      <c r="K127" s="5"/>
      <c r="L127" s="5"/>
      <c r="M127" s="5"/>
    </row>
    <row r="128" ht="15.75" customHeight="1">
      <c r="A128" s="14">
        <v>46296.0</v>
      </c>
      <c r="B128" s="5" t="s">
        <v>4124</v>
      </c>
      <c r="C128" s="15">
        <v>0.8020833333333334</v>
      </c>
      <c r="D128" s="5" t="s">
        <v>28</v>
      </c>
      <c r="E128" s="16" t="str">
        <f t="array" ref="E128">_xlfn.XLOOKUP(F128, Filmes!$D$2:$D$344, Filmes!$A$2:$A$344, "")</f>
        <v>040</v>
      </c>
      <c r="F128" s="7" t="s">
        <v>602</v>
      </c>
      <c r="G128" s="17" t="s">
        <v>4128</v>
      </c>
      <c r="H128" s="17" t="s">
        <v>4129</v>
      </c>
      <c r="I128" s="19">
        <v>5.0</v>
      </c>
      <c r="J128" s="5"/>
      <c r="K128" s="5"/>
      <c r="L128" s="5"/>
      <c r="M128" s="5"/>
    </row>
    <row r="129" ht="15.75" customHeight="1">
      <c r="A129" s="14">
        <v>46299.0</v>
      </c>
      <c r="B129" s="5" t="s">
        <v>4136</v>
      </c>
      <c r="C129" s="15">
        <v>0.6875</v>
      </c>
      <c r="D129" s="5" t="s">
        <v>28</v>
      </c>
      <c r="E129" s="16" t="str">
        <f t="array" ref="E129">_xlfn.XLOOKUP(F129, Filmes!$D$2:$D$344, Filmes!$A$2:$A$344, "")</f>
        <v>040</v>
      </c>
      <c r="F129" s="7" t="s">
        <v>602</v>
      </c>
      <c r="G129" s="17" t="s">
        <v>4125</v>
      </c>
      <c r="H129" s="17" t="s">
        <v>4126</v>
      </c>
      <c r="I129" s="19">
        <v>2.0</v>
      </c>
      <c r="J129" s="5"/>
      <c r="K129" s="5"/>
      <c r="L129" s="5"/>
      <c r="M129" s="5"/>
    </row>
    <row r="130" ht="15.75" customHeight="1">
      <c r="A130" s="14">
        <v>46305.0</v>
      </c>
      <c r="B130" s="5" t="s">
        <v>4127</v>
      </c>
      <c r="C130" s="15">
        <v>0.8958333333333334</v>
      </c>
      <c r="D130" s="5" t="s">
        <v>28</v>
      </c>
      <c r="E130" s="16" t="str">
        <f t="array" ref="E130">_xlfn.XLOOKUP(F130, Filmes!$D$2:$D$344, Filmes!$A$2:$A$344, "")</f>
        <v>040</v>
      </c>
      <c r="F130" s="7" t="s">
        <v>602</v>
      </c>
      <c r="G130" s="17" t="s">
        <v>4130</v>
      </c>
      <c r="H130" s="17" t="s">
        <v>4131</v>
      </c>
      <c r="I130" s="19">
        <v>6.0</v>
      </c>
      <c r="J130" s="5"/>
      <c r="K130" s="5"/>
      <c r="L130" s="5"/>
      <c r="M130" s="5"/>
    </row>
    <row r="131" ht="15.75" customHeight="1">
      <c r="A131" s="14">
        <v>46301.0</v>
      </c>
      <c r="B131" s="5" t="s">
        <v>4121</v>
      </c>
      <c r="C131" s="15">
        <v>0.6666666666666666</v>
      </c>
      <c r="D131" s="5" t="s">
        <v>28</v>
      </c>
      <c r="E131" s="16" t="str">
        <f t="array" ref="E131">_xlfn.XLOOKUP(F131, Filmes!$D$2:$D$344, Filmes!$A$2:$A$344, "")</f>
        <v>041</v>
      </c>
      <c r="F131" s="7" t="s">
        <v>613</v>
      </c>
      <c r="G131" s="17" t="s">
        <v>4130</v>
      </c>
      <c r="H131" s="17" t="s">
        <v>4131</v>
      </c>
      <c r="I131" s="19">
        <v>2.0</v>
      </c>
      <c r="J131" s="5"/>
      <c r="K131" s="5"/>
      <c r="L131" s="5"/>
      <c r="M131" s="5"/>
    </row>
    <row r="132" ht="15.75" customHeight="1">
      <c r="A132" s="14">
        <v>46306.0</v>
      </c>
      <c r="B132" s="5" t="s">
        <v>4136</v>
      </c>
      <c r="C132" s="15">
        <v>0.90625</v>
      </c>
      <c r="D132" s="5" t="s">
        <v>28</v>
      </c>
      <c r="E132" s="16" t="str">
        <f t="array" ref="E132">_xlfn.XLOOKUP(F132, Filmes!$D$2:$D$344, Filmes!$A$2:$A$344, "")</f>
        <v>041</v>
      </c>
      <c r="F132" s="7" t="s">
        <v>613</v>
      </c>
      <c r="G132" s="17" t="s">
        <v>4128</v>
      </c>
      <c r="H132" s="17" t="s">
        <v>4129</v>
      </c>
      <c r="I132" s="19">
        <v>4.0</v>
      </c>
      <c r="J132" s="5"/>
      <c r="K132" s="5"/>
      <c r="L132" s="5"/>
      <c r="M132" s="5"/>
    </row>
    <row r="133" ht="15.75" customHeight="1">
      <c r="A133" s="14">
        <v>46308.0</v>
      </c>
      <c r="B133" s="5" t="s">
        <v>4121</v>
      </c>
      <c r="C133" s="15">
        <v>0.59375</v>
      </c>
      <c r="D133" s="5" t="s">
        <v>28</v>
      </c>
      <c r="E133" s="16" t="str">
        <f t="array" ref="E133">_xlfn.XLOOKUP(F133, Filmes!$D$2:$D$344, Filmes!$A$2:$A$344, "")</f>
        <v>041</v>
      </c>
      <c r="F133" s="7" t="s">
        <v>613</v>
      </c>
      <c r="G133" s="17" t="s">
        <v>4139</v>
      </c>
      <c r="H133" s="17" t="s">
        <v>4140</v>
      </c>
      <c r="I133" s="19">
        <v>4.0</v>
      </c>
      <c r="J133" s="5"/>
      <c r="K133" s="5"/>
      <c r="L133" s="5"/>
      <c r="M133" s="5"/>
    </row>
    <row r="134" ht="15.75" customHeight="1">
      <c r="A134" s="14">
        <v>46297.0</v>
      </c>
      <c r="B134" s="5" t="s">
        <v>4135</v>
      </c>
      <c r="C134" s="15">
        <v>0.78125</v>
      </c>
      <c r="D134" s="5" t="s">
        <v>28</v>
      </c>
      <c r="E134" s="16" t="str">
        <f t="array" ref="E134">_xlfn.XLOOKUP(F134, Filmes!$D$2:$D$344, Filmes!$A$2:$A$344, "")</f>
        <v>042</v>
      </c>
      <c r="F134" s="7" t="s">
        <v>628</v>
      </c>
      <c r="G134" s="17" t="s">
        <v>4125</v>
      </c>
      <c r="H134" s="17" t="s">
        <v>4126</v>
      </c>
      <c r="I134" s="19">
        <v>2.0</v>
      </c>
      <c r="J134" s="5"/>
      <c r="K134" s="5"/>
      <c r="L134" s="5"/>
      <c r="M134" s="5"/>
    </row>
    <row r="135" ht="15.75" customHeight="1">
      <c r="A135" s="14">
        <v>46301.0</v>
      </c>
      <c r="B135" s="5" t="s">
        <v>4121</v>
      </c>
      <c r="C135" s="15">
        <v>0.6666666666666666</v>
      </c>
      <c r="D135" s="5" t="s">
        <v>28</v>
      </c>
      <c r="E135" s="16" t="str">
        <f t="array" ref="E135">_xlfn.XLOOKUP(F135, Filmes!$D$2:$D$344, Filmes!$A$2:$A$344, "")</f>
        <v>042</v>
      </c>
      <c r="F135" s="7" t="s">
        <v>628</v>
      </c>
      <c r="G135" s="17" t="s">
        <v>4137</v>
      </c>
      <c r="H135" s="17" t="s">
        <v>4138</v>
      </c>
      <c r="I135" s="19">
        <v>1.0</v>
      </c>
      <c r="J135" s="5"/>
      <c r="K135" s="5"/>
      <c r="L135" s="5"/>
      <c r="M135" s="5"/>
    </row>
    <row r="136" ht="15.75" customHeight="1">
      <c r="A136" s="14">
        <v>46306.0</v>
      </c>
      <c r="B136" s="5" t="s">
        <v>4136</v>
      </c>
      <c r="C136" s="15">
        <v>0.5833333333333334</v>
      </c>
      <c r="D136" s="5" t="s">
        <v>28</v>
      </c>
      <c r="E136" s="16" t="str">
        <f t="array" ref="E136">_xlfn.XLOOKUP(F136, Filmes!$D$2:$D$344, Filmes!$A$2:$A$344, "")</f>
        <v>042</v>
      </c>
      <c r="F136" s="7" t="s">
        <v>628</v>
      </c>
      <c r="G136" s="17" t="s">
        <v>4130</v>
      </c>
      <c r="H136" s="17" t="s">
        <v>4131</v>
      </c>
      <c r="I136" s="19">
        <v>6.0</v>
      </c>
      <c r="J136" s="5"/>
      <c r="K136" s="5"/>
      <c r="L136" s="5"/>
      <c r="M136" s="5"/>
    </row>
    <row r="137" ht="15.75" customHeight="1">
      <c r="A137" s="14">
        <v>46297.0</v>
      </c>
      <c r="B137" s="5" t="s">
        <v>4135</v>
      </c>
      <c r="C137" s="15">
        <v>0.6979166666666666</v>
      </c>
      <c r="D137" s="5" t="s">
        <v>28</v>
      </c>
      <c r="E137" s="16" t="str">
        <f t="array" ref="E137">_xlfn.XLOOKUP(F137, Filmes!$D$2:$D$344, Filmes!$A$2:$A$344, "")</f>
        <v>043</v>
      </c>
      <c r="F137" s="7" t="s">
        <v>642</v>
      </c>
      <c r="G137" s="17" t="s">
        <v>4128</v>
      </c>
      <c r="H137" s="17" t="s">
        <v>4129</v>
      </c>
      <c r="I137" s="19">
        <v>2.0</v>
      </c>
      <c r="J137" s="5"/>
      <c r="K137" s="5"/>
      <c r="L137" s="5"/>
      <c r="M137" s="5"/>
    </row>
    <row r="138" ht="15.75" customHeight="1">
      <c r="A138" s="14">
        <v>46299.0</v>
      </c>
      <c r="B138" s="5" t="s">
        <v>4136</v>
      </c>
      <c r="C138" s="15">
        <v>0.7916666666666666</v>
      </c>
      <c r="D138" s="5" t="s">
        <v>28</v>
      </c>
      <c r="E138" s="16" t="str">
        <f t="array" ref="E138">_xlfn.XLOOKUP(F138, Filmes!$D$2:$D$344, Filmes!$A$2:$A$344, "")</f>
        <v>043</v>
      </c>
      <c r="F138" s="7" t="s">
        <v>642</v>
      </c>
      <c r="G138" s="17" t="s">
        <v>4130</v>
      </c>
      <c r="H138" s="17" t="s">
        <v>4131</v>
      </c>
      <c r="I138" s="19">
        <v>4.0</v>
      </c>
      <c r="J138" s="5"/>
      <c r="K138" s="5"/>
      <c r="L138" s="5"/>
      <c r="M138" s="5"/>
    </row>
    <row r="139" ht="15.75" customHeight="1">
      <c r="A139" s="14">
        <v>46306.0</v>
      </c>
      <c r="B139" s="5" t="s">
        <v>4136</v>
      </c>
      <c r="C139" s="15">
        <v>0.8229166666666666</v>
      </c>
      <c r="D139" s="5" t="s">
        <v>28</v>
      </c>
      <c r="E139" s="16" t="str">
        <f t="array" ref="E139">_xlfn.XLOOKUP(F139, Filmes!$D$2:$D$344, Filmes!$A$2:$A$344, "")</f>
        <v>043</v>
      </c>
      <c r="F139" s="7" t="s">
        <v>642</v>
      </c>
      <c r="G139" s="17" t="s">
        <v>4133</v>
      </c>
      <c r="H139" s="17" t="s">
        <v>4134</v>
      </c>
      <c r="I139" s="19">
        <v>2.0</v>
      </c>
      <c r="J139" s="5"/>
      <c r="K139" s="5"/>
      <c r="L139" s="5"/>
      <c r="M139" s="5"/>
    </row>
    <row r="140" ht="15.75" customHeight="1">
      <c r="A140" s="14">
        <v>46300.0</v>
      </c>
      <c r="B140" s="5" t="s">
        <v>4132</v>
      </c>
      <c r="C140" s="15">
        <v>0.7708333333333334</v>
      </c>
      <c r="D140" s="5" t="s">
        <v>28</v>
      </c>
      <c r="E140" s="16" t="str">
        <f t="array" ref="E140">_xlfn.XLOOKUP(F140, Filmes!$D$2:$D$344, Filmes!$A$2:$A$344, "")</f>
        <v>044</v>
      </c>
      <c r="F140" s="7" t="s">
        <v>657</v>
      </c>
      <c r="G140" s="17" t="s">
        <v>4130</v>
      </c>
      <c r="H140" s="17" t="s">
        <v>4131</v>
      </c>
      <c r="I140" s="19">
        <v>2.0</v>
      </c>
      <c r="J140" s="5"/>
      <c r="K140" s="5"/>
      <c r="L140" s="5"/>
      <c r="M140" s="5"/>
    </row>
    <row r="141" ht="15.75" customHeight="1">
      <c r="A141" s="14">
        <v>46305.0</v>
      </c>
      <c r="B141" s="5" t="s">
        <v>4127</v>
      </c>
      <c r="C141" s="15">
        <v>0.6875</v>
      </c>
      <c r="D141" s="5" t="s">
        <v>28</v>
      </c>
      <c r="E141" s="16" t="str">
        <f t="array" ref="E141">_xlfn.XLOOKUP(F141, Filmes!$D$2:$D$344, Filmes!$A$2:$A$344, "")</f>
        <v>044</v>
      </c>
      <c r="F141" s="7" t="s">
        <v>657</v>
      </c>
      <c r="G141" s="17" t="s">
        <v>4125</v>
      </c>
      <c r="H141" s="17" t="s">
        <v>4126</v>
      </c>
      <c r="I141" s="19">
        <v>2.0</v>
      </c>
      <c r="J141" s="5"/>
      <c r="K141" s="5"/>
      <c r="L141" s="5"/>
      <c r="M141" s="5"/>
    </row>
    <row r="142" ht="15.75" customHeight="1">
      <c r="A142" s="14">
        <v>46309.0</v>
      </c>
      <c r="B142" s="5" t="s">
        <v>4143</v>
      </c>
      <c r="C142" s="15">
        <v>0.6041666666666666</v>
      </c>
      <c r="D142" s="5" t="s">
        <v>28</v>
      </c>
      <c r="E142" s="16" t="str">
        <f t="array" ref="E142">_xlfn.XLOOKUP(F142, Filmes!$D$2:$D$344, Filmes!$A$2:$A$344, "")</f>
        <v>044</v>
      </c>
      <c r="F142" s="7" t="s">
        <v>657</v>
      </c>
      <c r="G142" s="17" t="s">
        <v>4139</v>
      </c>
      <c r="H142" s="17" t="s">
        <v>4140</v>
      </c>
      <c r="I142" s="19">
        <v>5.0</v>
      </c>
      <c r="J142" s="5"/>
      <c r="K142" s="5"/>
      <c r="L142" s="5"/>
      <c r="M142" s="5"/>
    </row>
    <row r="143" ht="15.75" customHeight="1">
      <c r="A143" s="14">
        <v>46302.0</v>
      </c>
      <c r="B143" s="5" t="s">
        <v>4143</v>
      </c>
      <c r="C143" s="15">
        <v>0.59375</v>
      </c>
      <c r="D143" s="5" t="s">
        <v>28</v>
      </c>
      <c r="E143" s="16" t="str">
        <f t="array" ref="E143">_xlfn.XLOOKUP(F143, Filmes!$D$2:$D$344, Filmes!$A$2:$A$344, "")</f>
        <v>045</v>
      </c>
      <c r="F143" s="7" t="s">
        <v>669</v>
      </c>
      <c r="G143" s="17" t="s">
        <v>4130</v>
      </c>
      <c r="H143" s="17" t="s">
        <v>4131</v>
      </c>
      <c r="I143" s="19">
        <v>6.0</v>
      </c>
      <c r="J143" s="5"/>
      <c r="K143" s="5"/>
      <c r="L143" s="5"/>
      <c r="M143" s="5"/>
    </row>
    <row r="144" ht="15.75" customHeight="1">
      <c r="A144" s="14">
        <v>46306.0</v>
      </c>
      <c r="B144" s="5" t="s">
        <v>4136</v>
      </c>
      <c r="C144" s="15">
        <v>0.7708333333333334</v>
      </c>
      <c r="D144" s="5" t="s">
        <v>28</v>
      </c>
      <c r="E144" s="16" t="str">
        <f t="array" ref="E144">_xlfn.XLOOKUP(F144, Filmes!$D$2:$D$344, Filmes!$A$2:$A$344, "")</f>
        <v>045</v>
      </c>
      <c r="F144" s="7" t="s">
        <v>669</v>
      </c>
      <c r="G144" s="17" t="s">
        <v>4139</v>
      </c>
      <c r="H144" s="17" t="s">
        <v>4140</v>
      </c>
      <c r="I144" s="19">
        <v>4.0</v>
      </c>
      <c r="J144" s="5"/>
      <c r="K144" s="5"/>
      <c r="L144" s="5"/>
      <c r="M144" s="5"/>
    </row>
    <row r="145" ht="15.75" customHeight="1">
      <c r="A145" s="14">
        <v>46309.0</v>
      </c>
      <c r="B145" s="5" t="s">
        <v>4143</v>
      </c>
      <c r="C145" s="15">
        <v>0.90625</v>
      </c>
      <c r="D145" s="5" t="s">
        <v>28</v>
      </c>
      <c r="E145" s="16" t="str">
        <f t="array" ref="E145">_xlfn.XLOOKUP(F145, Filmes!$D$2:$D$344, Filmes!$A$2:$A$344, "")</f>
        <v>045</v>
      </c>
      <c r="F145" s="7" t="s">
        <v>669</v>
      </c>
      <c r="G145" s="17" t="s">
        <v>4128</v>
      </c>
      <c r="H145" s="17" t="s">
        <v>4129</v>
      </c>
      <c r="I145" s="19">
        <v>5.0</v>
      </c>
      <c r="J145" s="5"/>
      <c r="K145" s="5"/>
      <c r="L145" s="5"/>
      <c r="M145" s="5"/>
    </row>
    <row r="146" ht="15.75" customHeight="1">
      <c r="A146" s="14">
        <v>46298.0</v>
      </c>
      <c r="B146" s="5" t="s">
        <v>4127</v>
      </c>
      <c r="C146" s="15">
        <v>0.875</v>
      </c>
      <c r="D146" s="5" t="s">
        <v>28</v>
      </c>
      <c r="E146" s="16" t="str">
        <f t="array" ref="E146">_xlfn.XLOOKUP(F146, Filmes!$D$2:$D$344, Filmes!$A$2:$A$344, "")</f>
        <v>046</v>
      </c>
      <c r="F146" s="7" t="s">
        <v>681</v>
      </c>
      <c r="G146" s="17" t="s">
        <v>4139</v>
      </c>
      <c r="H146" s="17" t="s">
        <v>4140</v>
      </c>
      <c r="I146" s="19">
        <v>4.0</v>
      </c>
      <c r="J146" s="5"/>
      <c r="K146" s="5"/>
      <c r="L146" s="5"/>
      <c r="M146" s="5"/>
    </row>
    <row r="147" ht="15.75" customHeight="1">
      <c r="A147" s="14">
        <v>46303.0</v>
      </c>
      <c r="B147" s="5" t="s">
        <v>4124</v>
      </c>
      <c r="C147" s="15">
        <v>0.7083333333333334</v>
      </c>
      <c r="D147" s="5" t="s">
        <v>28</v>
      </c>
      <c r="E147" s="16" t="str">
        <f t="array" ref="E147">_xlfn.XLOOKUP(F147, Filmes!$D$2:$D$344, Filmes!$A$2:$A$344, "")</f>
        <v>046</v>
      </c>
      <c r="F147" s="7" t="s">
        <v>681</v>
      </c>
      <c r="G147" s="17" t="s">
        <v>4128</v>
      </c>
      <c r="H147" s="17" t="s">
        <v>4129</v>
      </c>
      <c r="I147" s="19">
        <v>5.0</v>
      </c>
      <c r="J147" s="5"/>
      <c r="K147" s="5"/>
      <c r="L147" s="5"/>
      <c r="M147" s="5"/>
    </row>
    <row r="148" ht="15.75" customHeight="1">
      <c r="A148" s="14">
        <v>46305.0</v>
      </c>
      <c r="B148" s="5" t="s">
        <v>4127</v>
      </c>
      <c r="C148" s="15">
        <v>0.5729166666666666</v>
      </c>
      <c r="D148" s="5" t="s">
        <v>28</v>
      </c>
      <c r="E148" s="16" t="str">
        <f t="array" ref="E148">_xlfn.XLOOKUP(F148, Filmes!$D$2:$D$344, Filmes!$A$2:$A$344, "")</f>
        <v>046</v>
      </c>
      <c r="F148" s="7" t="s">
        <v>681</v>
      </c>
      <c r="G148" s="17" t="s">
        <v>4130</v>
      </c>
      <c r="H148" s="17" t="s">
        <v>4131</v>
      </c>
      <c r="I148" s="19">
        <v>6.0</v>
      </c>
      <c r="J148" s="5"/>
      <c r="K148" s="5"/>
      <c r="L148" s="5"/>
      <c r="M148" s="5"/>
    </row>
    <row r="149" ht="15.75" customHeight="1">
      <c r="A149" s="14">
        <v>46296.0</v>
      </c>
      <c r="B149" s="5" t="s">
        <v>4124</v>
      </c>
      <c r="C149" s="15">
        <v>0.8020833333333334</v>
      </c>
      <c r="D149" s="5" t="s">
        <v>28</v>
      </c>
      <c r="E149" s="16" t="str">
        <f t="array" ref="E149">_xlfn.XLOOKUP(F149, Filmes!$D$2:$D$344, Filmes!$A$2:$A$344, "")</f>
        <v>047</v>
      </c>
      <c r="F149" s="7" t="s">
        <v>697</v>
      </c>
      <c r="G149" s="17" t="s">
        <v>4130</v>
      </c>
      <c r="H149" s="17" t="s">
        <v>4131</v>
      </c>
      <c r="I149" s="19">
        <v>6.0</v>
      </c>
      <c r="J149" s="5"/>
      <c r="K149" s="5"/>
      <c r="L149" s="5"/>
      <c r="M149" s="5"/>
    </row>
    <row r="150" ht="15.75" customHeight="1">
      <c r="A150" s="14">
        <v>46299.0</v>
      </c>
      <c r="B150" s="5" t="s">
        <v>4136</v>
      </c>
      <c r="C150" s="15">
        <v>0.5833333333333334</v>
      </c>
      <c r="D150" s="5" t="s">
        <v>28</v>
      </c>
      <c r="E150" s="16" t="str">
        <f t="array" ref="E150">_xlfn.XLOOKUP(F150, Filmes!$D$2:$D$344, Filmes!$A$2:$A$344, "")</f>
        <v>047</v>
      </c>
      <c r="F150" s="7" t="s">
        <v>697</v>
      </c>
      <c r="G150" s="17" t="s">
        <v>4125</v>
      </c>
      <c r="H150" s="17" t="s">
        <v>4126</v>
      </c>
      <c r="I150" s="19">
        <v>2.0</v>
      </c>
      <c r="J150" s="5"/>
      <c r="K150" s="5"/>
      <c r="L150" s="5"/>
      <c r="M150" s="5"/>
    </row>
    <row r="151" ht="15.75" customHeight="1">
      <c r="A151" s="14">
        <v>46306.0</v>
      </c>
      <c r="B151" s="5" t="s">
        <v>4136</v>
      </c>
      <c r="C151" s="15">
        <v>0.8958333333333334</v>
      </c>
      <c r="D151" s="5" t="s">
        <v>28</v>
      </c>
      <c r="E151" s="16" t="str">
        <f t="array" ref="E151">_xlfn.XLOOKUP(F151, Filmes!$D$2:$D$344, Filmes!$A$2:$A$344, "")</f>
        <v>047</v>
      </c>
      <c r="F151" s="7" t="s">
        <v>697</v>
      </c>
      <c r="G151" s="17" t="s">
        <v>4128</v>
      </c>
      <c r="H151" s="17" t="s">
        <v>4129</v>
      </c>
      <c r="I151" s="19">
        <v>2.0</v>
      </c>
      <c r="J151" s="5"/>
      <c r="K151" s="5"/>
      <c r="L151" s="5"/>
      <c r="M151" s="5"/>
    </row>
    <row r="152" ht="15.75" customHeight="1">
      <c r="A152" s="14">
        <v>46296.0</v>
      </c>
      <c r="B152" s="5" t="s">
        <v>4124</v>
      </c>
      <c r="C152" s="15">
        <v>0.8958333333333334</v>
      </c>
      <c r="D152" s="5" t="s">
        <v>28</v>
      </c>
      <c r="E152" s="16" t="str">
        <f t="array" ref="E152">_xlfn.XLOOKUP(F152, Filmes!$D$2:$D$344, Filmes!$A$2:$A$344, "")</f>
        <v>048</v>
      </c>
      <c r="F152" s="7" t="s">
        <v>711</v>
      </c>
      <c r="G152" s="17" t="s">
        <v>4130</v>
      </c>
      <c r="H152" s="17" t="s">
        <v>4131</v>
      </c>
      <c r="I152" s="19">
        <v>4.0</v>
      </c>
      <c r="J152" s="5"/>
      <c r="K152" s="5"/>
      <c r="L152" s="5"/>
      <c r="M152" s="5"/>
    </row>
    <row r="153" ht="15.75" customHeight="1">
      <c r="A153" s="14">
        <v>46301.0</v>
      </c>
      <c r="B153" s="5" t="s">
        <v>4121</v>
      </c>
      <c r="C153" s="15">
        <v>0.6875</v>
      </c>
      <c r="D153" s="5" t="s">
        <v>28</v>
      </c>
      <c r="E153" s="16" t="str">
        <f t="array" ref="E153">_xlfn.XLOOKUP(F153, Filmes!$D$2:$D$344, Filmes!$A$2:$A$344, "")</f>
        <v>048</v>
      </c>
      <c r="F153" s="7" t="s">
        <v>711</v>
      </c>
      <c r="G153" s="17" t="s">
        <v>4139</v>
      </c>
      <c r="H153" s="17" t="s">
        <v>4140</v>
      </c>
      <c r="I153" s="19">
        <v>4.0</v>
      </c>
      <c r="J153" s="5"/>
      <c r="K153" s="5"/>
      <c r="L153" s="5"/>
      <c r="M153" s="5"/>
    </row>
    <row r="154" ht="15.75" customHeight="1">
      <c r="A154" s="14">
        <v>46306.0</v>
      </c>
      <c r="B154" s="5" t="s">
        <v>4136</v>
      </c>
      <c r="C154" s="15">
        <v>0.59375</v>
      </c>
      <c r="D154" s="5" t="s">
        <v>28</v>
      </c>
      <c r="E154" s="16" t="str">
        <f t="array" ref="E154">_xlfn.XLOOKUP(F154, Filmes!$D$2:$D$344, Filmes!$A$2:$A$344, "")</f>
        <v>048</v>
      </c>
      <c r="F154" s="7" t="s">
        <v>711</v>
      </c>
      <c r="G154" s="17" t="s">
        <v>4128</v>
      </c>
      <c r="H154" s="17" t="s">
        <v>4129</v>
      </c>
      <c r="I154" s="19">
        <v>4.0</v>
      </c>
      <c r="J154" s="5"/>
      <c r="K154" s="5"/>
      <c r="L154" s="5"/>
      <c r="M154" s="5"/>
    </row>
    <row r="155" ht="15.75" customHeight="1">
      <c r="A155" s="14">
        <v>46297.0</v>
      </c>
      <c r="B155" s="5" t="s">
        <v>4135</v>
      </c>
      <c r="C155" s="15">
        <v>0.78125</v>
      </c>
      <c r="D155" s="5" t="s">
        <v>28</v>
      </c>
      <c r="E155" s="16" t="str">
        <f t="array" ref="E155">_xlfn.XLOOKUP(F155, Filmes!$D$2:$D$344, Filmes!$A$2:$A$344, "")</f>
        <v>049</v>
      </c>
      <c r="F155" s="7" t="s">
        <v>727</v>
      </c>
      <c r="G155" s="17" t="s">
        <v>4130</v>
      </c>
      <c r="H155" s="17" t="s">
        <v>4131</v>
      </c>
      <c r="I155" s="19">
        <v>1.0</v>
      </c>
      <c r="J155" s="5"/>
      <c r="K155" s="5"/>
      <c r="L155" s="5"/>
      <c r="M155" s="5"/>
    </row>
    <row r="156" ht="15.75" customHeight="1">
      <c r="A156" s="14">
        <v>46302.0</v>
      </c>
      <c r="B156" s="5" t="s">
        <v>4143</v>
      </c>
      <c r="C156" s="15">
        <v>0.5625</v>
      </c>
      <c r="D156" s="5" t="s">
        <v>28</v>
      </c>
      <c r="E156" s="16" t="str">
        <f t="array" ref="E156">_xlfn.XLOOKUP(F156, Filmes!$D$2:$D$344, Filmes!$A$2:$A$344, "")</f>
        <v>049</v>
      </c>
      <c r="F156" s="7" t="s">
        <v>727</v>
      </c>
      <c r="G156" s="17" t="s">
        <v>4133</v>
      </c>
      <c r="H156" s="17" t="s">
        <v>4134</v>
      </c>
      <c r="I156" s="19">
        <v>1.0</v>
      </c>
      <c r="J156" s="5"/>
      <c r="K156" s="5"/>
      <c r="L156" s="5"/>
      <c r="M156" s="5"/>
    </row>
    <row r="157" ht="15.75" customHeight="1">
      <c r="A157" s="14">
        <v>46306.0</v>
      </c>
      <c r="B157" s="5" t="s">
        <v>4136</v>
      </c>
      <c r="C157" s="15">
        <v>0.8541666666666666</v>
      </c>
      <c r="D157" s="5" t="s">
        <v>28</v>
      </c>
      <c r="E157" s="16" t="str">
        <f t="array" ref="E157">_xlfn.XLOOKUP(F157, Filmes!$D$2:$D$344, Filmes!$A$2:$A$344, "")</f>
        <v>049</v>
      </c>
      <c r="F157" s="7" t="s">
        <v>727</v>
      </c>
      <c r="G157" s="17" t="s">
        <v>4139</v>
      </c>
      <c r="H157" s="17" t="s">
        <v>4140</v>
      </c>
      <c r="I157" s="19">
        <v>4.0</v>
      </c>
      <c r="J157" s="5"/>
      <c r="K157" s="5"/>
      <c r="L157" s="5"/>
      <c r="M157" s="5"/>
    </row>
    <row r="158" ht="15.75" customHeight="1">
      <c r="A158" s="14">
        <v>46296.0</v>
      </c>
      <c r="B158" s="5" t="s">
        <v>4124</v>
      </c>
      <c r="C158" s="15">
        <v>0.875</v>
      </c>
      <c r="D158" s="5" t="s">
        <v>28</v>
      </c>
      <c r="E158" s="16" t="str">
        <f t="array" ref="E158">_xlfn.XLOOKUP(F158, Filmes!$D$2:$D$344, Filmes!$A$2:$A$344, "")</f>
        <v>050</v>
      </c>
      <c r="F158" s="7" t="s">
        <v>740</v>
      </c>
      <c r="G158" s="17" t="s">
        <v>4130</v>
      </c>
      <c r="H158" s="17" t="s">
        <v>4131</v>
      </c>
      <c r="I158" s="19">
        <v>6.0</v>
      </c>
      <c r="J158" s="5"/>
      <c r="K158" s="5"/>
      <c r="L158" s="5"/>
      <c r="M158" s="5"/>
    </row>
    <row r="159" ht="15.75" customHeight="1">
      <c r="A159" s="14">
        <v>46301.0</v>
      </c>
      <c r="B159" s="5" t="s">
        <v>4121</v>
      </c>
      <c r="C159" s="15">
        <v>0.6805555555555556</v>
      </c>
      <c r="D159" s="5" t="s">
        <v>28</v>
      </c>
      <c r="E159" s="16" t="str">
        <f t="array" ref="E159">_xlfn.XLOOKUP(F159, Filmes!$D$2:$D$344, Filmes!$A$2:$A$344, "")</f>
        <v>050</v>
      </c>
      <c r="F159" s="7" t="s">
        <v>740</v>
      </c>
      <c r="G159" s="17" t="s">
        <v>4125</v>
      </c>
      <c r="H159" s="17" t="s">
        <v>4126</v>
      </c>
      <c r="I159" s="19">
        <v>2.0</v>
      </c>
      <c r="J159" s="5"/>
      <c r="K159" s="5"/>
      <c r="L159" s="5"/>
      <c r="M159" s="5"/>
    </row>
    <row r="160" ht="15.75" customHeight="1">
      <c r="A160" s="14">
        <v>46305.0</v>
      </c>
      <c r="B160" s="5" t="s">
        <v>4127</v>
      </c>
      <c r="C160" s="15">
        <v>0.78125</v>
      </c>
      <c r="D160" s="5" t="s">
        <v>28</v>
      </c>
      <c r="E160" s="16" t="str">
        <f t="array" ref="E160">_xlfn.XLOOKUP(F160, Filmes!$D$2:$D$344, Filmes!$A$2:$A$344, "")</f>
        <v>050</v>
      </c>
      <c r="F160" s="7" t="s">
        <v>740</v>
      </c>
      <c r="G160" s="17" t="s">
        <v>4128</v>
      </c>
      <c r="H160" s="17" t="s">
        <v>4129</v>
      </c>
      <c r="I160" s="19">
        <v>2.0</v>
      </c>
      <c r="J160" s="5"/>
      <c r="K160" s="5"/>
      <c r="L160" s="5"/>
      <c r="M160" s="5"/>
    </row>
    <row r="161" ht="15.75" customHeight="1">
      <c r="A161" s="14">
        <v>46297.0</v>
      </c>
      <c r="B161" s="5" t="s">
        <v>4135</v>
      </c>
      <c r="C161" s="15">
        <v>0.8958333333333334</v>
      </c>
      <c r="D161" s="5" t="s">
        <v>28</v>
      </c>
      <c r="E161" s="16" t="str">
        <f t="array" ref="E161">_xlfn.XLOOKUP(F161, Filmes!$D$2:$D$344, Filmes!$A$2:$A$344, "")</f>
        <v>051</v>
      </c>
      <c r="F161" s="7" t="s">
        <v>753</v>
      </c>
      <c r="G161" s="17" t="s">
        <v>4130</v>
      </c>
      <c r="H161" s="17" t="s">
        <v>4131</v>
      </c>
      <c r="I161" s="19">
        <v>6.0</v>
      </c>
      <c r="J161" s="5"/>
      <c r="K161" s="5"/>
      <c r="L161" s="5"/>
      <c r="M161" s="5"/>
    </row>
    <row r="162" ht="15.75" customHeight="1">
      <c r="A162" s="14">
        <v>46299.0</v>
      </c>
      <c r="B162" s="5" t="s">
        <v>4136</v>
      </c>
      <c r="C162" s="15">
        <v>0.7083333333333334</v>
      </c>
      <c r="D162" s="5" t="s">
        <v>28</v>
      </c>
      <c r="E162" s="16" t="str">
        <f t="array" ref="E162">_xlfn.XLOOKUP(F162, Filmes!$D$2:$D$344, Filmes!$A$2:$A$344, "")</f>
        <v>051</v>
      </c>
      <c r="F162" s="7" t="s">
        <v>753</v>
      </c>
      <c r="G162" s="17" t="s">
        <v>4128</v>
      </c>
      <c r="H162" s="17" t="s">
        <v>4129</v>
      </c>
      <c r="I162" s="19">
        <v>5.0</v>
      </c>
      <c r="J162" s="5"/>
      <c r="K162" s="5"/>
      <c r="L162" s="5"/>
      <c r="M162" s="5"/>
    </row>
    <row r="163" ht="15.75" customHeight="1">
      <c r="A163" s="14">
        <v>46302.0</v>
      </c>
      <c r="B163" s="5" t="s">
        <v>4143</v>
      </c>
      <c r="C163" s="15">
        <v>0.78125</v>
      </c>
      <c r="D163" s="5" t="s">
        <v>28</v>
      </c>
      <c r="E163" s="16" t="str">
        <f t="array" ref="E163">_xlfn.XLOOKUP(F163, Filmes!$D$2:$D$344, Filmes!$A$2:$A$344, "")</f>
        <v>051</v>
      </c>
      <c r="F163" s="7" t="s">
        <v>753</v>
      </c>
      <c r="G163" s="17" t="s">
        <v>4125</v>
      </c>
      <c r="H163" s="17" t="s">
        <v>4126</v>
      </c>
      <c r="I163" s="19">
        <v>2.0</v>
      </c>
      <c r="J163" s="5"/>
      <c r="K163" s="5"/>
      <c r="L163" s="5"/>
      <c r="M163" s="5"/>
    </row>
    <row r="164" ht="15.75" customHeight="1">
      <c r="A164" s="14">
        <v>46297.0</v>
      </c>
      <c r="B164" s="5" t="s">
        <v>4135</v>
      </c>
      <c r="C164" s="15">
        <v>0.875</v>
      </c>
      <c r="D164" s="5" t="s">
        <v>28</v>
      </c>
      <c r="E164" s="16" t="str">
        <f t="array" ref="E164">_xlfn.XLOOKUP(F164, Filmes!$D$2:$D$344, Filmes!$A$2:$A$344, "")</f>
        <v>052</v>
      </c>
      <c r="F164" s="7" t="s">
        <v>766</v>
      </c>
      <c r="G164" s="17" t="s">
        <v>4130</v>
      </c>
      <c r="H164" s="17" t="s">
        <v>4131</v>
      </c>
      <c r="I164" s="19">
        <v>2.0</v>
      </c>
      <c r="J164" s="5"/>
      <c r="K164" s="5"/>
      <c r="L164" s="5"/>
      <c r="M164" s="5"/>
    </row>
    <row r="165" ht="15.75" customHeight="1">
      <c r="A165" s="14">
        <v>46300.0</v>
      </c>
      <c r="B165" s="5" t="s">
        <v>4132</v>
      </c>
      <c r="C165" s="15">
        <v>0.7916666666666666</v>
      </c>
      <c r="D165" s="5" t="s">
        <v>28</v>
      </c>
      <c r="E165" s="16" t="str">
        <f t="array" ref="E165">_xlfn.XLOOKUP(F165, Filmes!$D$2:$D$344, Filmes!$A$2:$A$344, "")</f>
        <v>052</v>
      </c>
      <c r="F165" s="7" t="s">
        <v>766</v>
      </c>
      <c r="G165" s="17" t="s">
        <v>4137</v>
      </c>
      <c r="H165" s="17" t="s">
        <v>4138</v>
      </c>
      <c r="I165" s="19">
        <v>1.0</v>
      </c>
      <c r="J165" s="5"/>
      <c r="K165" s="5"/>
      <c r="L165" s="5"/>
      <c r="M165" s="5"/>
    </row>
    <row r="166" ht="15.75" customHeight="1">
      <c r="A166" s="14">
        <v>46306.0</v>
      </c>
      <c r="B166" s="5" t="s">
        <v>4136</v>
      </c>
      <c r="C166" s="15">
        <v>0.5833333333333334</v>
      </c>
      <c r="D166" s="5" t="s">
        <v>28</v>
      </c>
      <c r="E166" s="16" t="str">
        <f t="array" ref="E166">_xlfn.XLOOKUP(F166, Filmes!$D$2:$D$344, Filmes!$A$2:$A$344, "")</f>
        <v>052</v>
      </c>
      <c r="F166" s="7" t="s">
        <v>766</v>
      </c>
      <c r="G166" s="17" t="s">
        <v>4128</v>
      </c>
      <c r="H166" s="17" t="s">
        <v>4129</v>
      </c>
      <c r="I166" s="19">
        <v>2.0</v>
      </c>
      <c r="J166" s="5"/>
      <c r="K166" s="5"/>
      <c r="L166" s="5"/>
      <c r="M166" s="5"/>
    </row>
    <row r="167" ht="15.75" customHeight="1">
      <c r="A167" s="14">
        <v>46301.0</v>
      </c>
      <c r="B167" s="5" t="s">
        <v>4121</v>
      </c>
      <c r="C167" s="15">
        <v>0.8020833333333334</v>
      </c>
      <c r="D167" s="5" t="s">
        <v>28</v>
      </c>
      <c r="E167" s="16" t="str">
        <f t="array" ref="E167">_xlfn.XLOOKUP(F167, Filmes!$D$2:$D$344, Filmes!$A$2:$A$344, "")</f>
        <v>053</v>
      </c>
      <c r="F167" s="7" t="s">
        <v>780</v>
      </c>
      <c r="G167" s="17" t="s">
        <v>4130</v>
      </c>
      <c r="H167" s="17" t="s">
        <v>4131</v>
      </c>
      <c r="I167" s="19">
        <v>6.0</v>
      </c>
      <c r="J167" s="5"/>
      <c r="K167" s="5"/>
      <c r="L167" s="5"/>
      <c r="M167" s="5"/>
    </row>
    <row r="168" ht="15.75" customHeight="1">
      <c r="A168" s="14">
        <v>46304.0</v>
      </c>
      <c r="B168" s="5" t="s">
        <v>4135</v>
      </c>
      <c r="C168" s="15">
        <v>0.59375</v>
      </c>
      <c r="D168" s="5" t="s">
        <v>28</v>
      </c>
      <c r="E168" s="16" t="str">
        <f t="array" ref="E168">_xlfn.XLOOKUP(F168, Filmes!$D$2:$D$344, Filmes!$A$2:$A$344, "")</f>
        <v>053</v>
      </c>
      <c r="F168" s="7" t="s">
        <v>780</v>
      </c>
      <c r="G168" s="17" t="s">
        <v>4128</v>
      </c>
      <c r="H168" s="17" t="s">
        <v>4129</v>
      </c>
      <c r="I168" s="19">
        <v>4.0</v>
      </c>
      <c r="J168" s="5"/>
      <c r="K168" s="5"/>
      <c r="L168" s="5"/>
      <c r="M168" s="5"/>
    </row>
    <row r="169" ht="15.75" customHeight="1">
      <c r="A169" s="14">
        <v>46306.0</v>
      </c>
      <c r="B169" s="5" t="s">
        <v>4136</v>
      </c>
      <c r="C169" s="15">
        <v>0.6875</v>
      </c>
      <c r="D169" s="5" t="s">
        <v>28</v>
      </c>
      <c r="E169" s="16" t="str">
        <f t="array" ref="E169">_xlfn.XLOOKUP(F169, Filmes!$D$2:$D$344, Filmes!$A$2:$A$344, "")</f>
        <v>053</v>
      </c>
      <c r="F169" s="7" t="s">
        <v>780</v>
      </c>
      <c r="G169" s="17" t="s">
        <v>4125</v>
      </c>
      <c r="H169" s="17" t="s">
        <v>4126</v>
      </c>
      <c r="I169" s="19">
        <v>2.0</v>
      </c>
      <c r="J169" s="5"/>
      <c r="K169" s="5"/>
      <c r="L169" s="5"/>
      <c r="M169" s="5"/>
    </row>
    <row r="170" ht="15.75" customHeight="1">
      <c r="A170" s="14">
        <v>46297.0</v>
      </c>
      <c r="B170" s="5" t="s">
        <v>4135</v>
      </c>
      <c r="C170" s="15">
        <v>0.6875</v>
      </c>
      <c r="D170" s="5" t="s">
        <v>28</v>
      </c>
      <c r="E170" s="16" t="str">
        <f t="array" ref="E170">_xlfn.XLOOKUP(F170, Filmes!$D$2:$D$344, Filmes!$A$2:$A$344, "")</f>
        <v>054</v>
      </c>
      <c r="F170" s="7" t="s">
        <v>793</v>
      </c>
      <c r="G170" s="17" t="s">
        <v>4139</v>
      </c>
      <c r="H170" s="17" t="s">
        <v>4140</v>
      </c>
      <c r="I170" s="19">
        <v>4.0</v>
      </c>
      <c r="J170" s="5"/>
      <c r="K170" s="5"/>
      <c r="L170" s="5"/>
      <c r="M170" s="5"/>
    </row>
    <row r="171" ht="15.75" customHeight="1">
      <c r="A171" s="14">
        <v>46299.0</v>
      </c>
      <c r="B171" s="5" t="s">
        <v>4136</v>
      </c>
      <c r="C171" s="15">
        <v>0.7395833333333334</v>
      </c>
      <c r="D171" s="5" t="s">
        <v>28</v>
      </c>
      <c r="E171" s="16" t="str">
        <f t="array" ref="E171">_xlfn.XLOOKUP(F171, Filmes!$D$2:$D$344, Filmes!$A$2:$A$344, "")</f>
        <v>054</v>
      </c>
      <c r="F171" s="7" t="s">
        <v>793</v>
      </c>
      <c r="G171" s="17" t="s">
        <v>4133</v>
      </c>
      <c r="H171" s="17" t="s">
        <v>4134</v>
      </c>
      <c r="I171" s="19">
        <v>2.0</v>
      </c>
      <c r="J171" s="5"/>
      <c r="K171" s="5"/>
      <c r="L171" s="5"/>
      <c r="M171" s="5"/>
    </row>
    <row r="172" ht="15.75" customHeight="1">
      <c r="A172" s="14">
        <v>46303.0</v>
      </c>
      <c r="B172" s="5" t="s">
        <v>4124</v>
      </c>
      <c r="C172" s="15">
        <v>0.875</v>
      </c>
      <c r="D172" s="5" t="s">
        <v>28</v>
      </c>
      <c r="E172" s="16" t="str">
        <f t="array" ref="E172">_xlfn.XLOOKUP(F172, Filmes!$D$2:$D$344, Filmes!$A$2:$A$344, "")</f>
        <v>054</v>
      </c>
      <c r="F172" s="7" t="s">
        <v>793</v>
      </c>
      <c r="G172" s="17" t="s">
        <v>4130</v>
      </c>
      <c r="H172" s="17" t="s">
        <v>4131</v>
      </c>
      <c r="I172" s="19">
        <v>2.0</v>
      </c>
      <c r="J172" s="5"/>
      <c r="K172" s="5"/>
      <c r="L172" s="5"/>
      <c r="M172" s="5"/>
    </row>
    <row r="173" ht="15.75" customHeight="1">
      <c r="A173" s="14">
        <v>46302.0</v>
      </c>
      <c r="B173" s="5" t="s">
        <v>4143</v>
      </c>
      <c r="C173" s="15">
        <v>0.8958333333333334</v>
      </c>
      <c r="D173" s="5" t="s">
        <v>28</v>
      </c>
      <c r="E173" s="16" t="str">
        <f t="array" ref="E173">_xlfn.XLOOKUP(F173, Filmes!$D$2:$D$344, Filmes!$A$2:$A$344, "")</f>
        <v>055</v>
      </c>
      <c r="F173" s="7" t="s">
        <v>805</v>
      </c>
      <c r="G173" s="17" t="s">
        <v>4130</v>
      </c>
      <c r="H173" s="17" t="s">
        <v>4131</v>
      </c>
      <c r="I173" s="19">
        <v>4.0</v>
      </c>
      <c r="J173" s="5"/>
      <c r="K173" s="5"/>
      <c r="L173" s="5"/>
      <c r="M173" s="5"/>
    </row>
    <row r="174" ht="15.75" customHeight="1">
      <c r="A174" s="14">
        <v>46304.0</v>
      </c>
      <c r="B174" s="5" t="s">
        <v>4135</v>
      </c>
      <c r="C174" s="15">
        <v>0.6145833333333334</v>
      </c>
      <c r="D174" s="5" t="s">
        <v>28</v>
      </c>
      <c r="E174" s="16" t="str">
        <f t="array" ref="E174">_xlfn.XLOOKUP(F174, Filmes!$D$2:$D$344, Filmes!$A$2:$A$344, "")</f>
        <v>055</v>
      </c>
      <c r="F174" s="7" t="s">
        <v>805</v>
      </c>
      <c r="G174" s="17" t="s">
        <v>4128</v>
      </c>
      <c r="H174" s="17" t="s">
        <v>4129</v>
      </c>
      <c r="I174" s="19">
        <v>5.0</v>
      </c>
      <c r="J174" s="5"/>
      <c r="K174" s="5"/>
      <c r="L174" s="5"/>
      <c r="M174" s="5"/>
    </row>
    <row r="175" ht="15.75" customHeight="1">
      <c r="A175" s="14">
        <v>46309.0</v>
      </c>
      <c r="B175" s="5" t="s">
        <v>4143</v>
      </c>
      <c r="C175" s="15">
        <v>0.6875</v>
      </c>
      <c r="D175" s="5" t="s">
        <v>28</v>
      </c>
      <c r="E175" s="16" t="str">
        <f t="array" ref="E175">_xlfn.XLOOKUP(F175, Filmes!$D$2:$D$344, Filmes!$A$2:$A$344, "")</f>
        <v>055</v>
      </c>
      <c r="F175" s="7" t="s">
        <v>805</v>
      </c>
      <c r="G175" s="17" t="s">
        <v>4139</v>
      </c>
      <c r="H175" s="17" t="s">
        <v>4140</v>
      </c>
      <c r="I175" s="19">
        <v>4.0</v>
      </c>
      <c r="J175" s="5"/>
      <c r="K175" s="5"/>
      <c r="L175" s="5"/>
      <c r="M175" s="5"/>
    </row>
    <row r="176" ht="15.75" customHeight="1">
      <c r="A176" s="14">
        <v>46296.0</v>
      </c>
      <c r="B176" s="5" t="s">
        <v>4124</v>
      </c>
      <c r="C176" s="15">
        <v>0.7604166666666666</v>
      </c>
      <c r="D176" s="5" t="s">
        <v>816</v>
      </c>
      <c r="E176" s="16" t="str">
        <f t="array" ref="E176">_xlfn.XLOOKUP(F176, Filmes!$D$2:$D$344, Filmes!$A$2:$A$344, "")</f>
        <v>056</v>
      </c>
      <c r="F176" s="7" t="s">
        <v>818</v>
      </c>
      <c r="G176" s="17" t="s">
        <v>4128</v>
      </c>
      <c r="H176" s="17" t="s">
        <v>4129</v>
      </c>
      <c r="I176" s="19">
        <v>3.0</v>
      </c>
      <c r="J176" s="5"/>
      <c r="K176" s="5"/>
      <c r="L176" s="5"/>
      <c r="M176" s="5"/>
    </row>
    <row r="177" ht="15.75" customHeight="1">
      <c r="A177" s="14">
        <v>46300.0</v>
      </c>
      <c r="B177" s="5" t="s">
        <v>4132</v>
      </c>
      <c r="C177" s="15">
        <v>0.5833333333333334</v>
      </c>
      <c r="D177" s="5" t="s">
        <v>816</v>
      </c>
      <c r="E177" s="16" t="str">
        <f t="array" ref="E177">_xlfn.XLOOKUP(F177, Filmes!$D$2:$D$344, Filmes!$A$2:$A$344, "")</f>
        <v>056</v>
      </c>
      <c r="F177" s="7" t="s">
        <v>818</v>
      </c>
      <c r="G177" s="17" t="s">
        <v>4125</v>
      </c>
      <c r="H177" s="17" t="s">
        <v>4126</v>
      </c>
      <c r="I177" s="19">
        <v>2.0</v>
      </c>
      <c r="J177" s="5"/>
      <c r="K177" s="5"/>
      <c r="L177" s="5"/>
      <c r="M177" s="5"/>
    </row>
    <row r="178" ht="15.75" customHeight="1">
      <c r="A178" s="14">
        <v>46305.0</v>
      </c>
      <c r="B178" s="5" t="s">
        <v>4127</v>
      </c>
      <c r="C178" s="15">
        <v>0.8645833333333334</v>
      </c>
      <c r="D178" s="5" t="s">
        <v>816</v>
      </c>
      <c r="E178" s="16" t="str">
        <f t="array" ref="E178">_xlfn.XLOOKUP(F178, Filmes!$D$2:$D$344, Filmes!$A$2:$A$344, "")</f>
        <v>056</v>
      </c>
      <c r="F178" s="7" t="s">
        <v>818</v>
      </c>
      <c r="G178" s="17" t="s">
        <v>4139</v>
      </c>
      <c r="H178" s="17" t="s">
        <v>4140</v>
      </c>
      <c r="I178" s="19">
        <v>3.0</v>
      </c>
      <c r="J178" s="5"/>
      <c r="K178" s="5"/>
      <c r="L178" s="5"/>
      <c r="M178" s="5"/>
    </row>
    <row r="179" ht="15.75" customHeight="1">
      <c r="A179" s="14">
        <v>46297.0</v>
      </c>
      <c r="B179" s="5" t="s">
        <v>4135</v>
      </c>
      <c r="C179" s="15">
        <v>0.5833333333333334</v>
      </c>
      <c r="D179" s="5" t="s">
        <v>816</v>
      </c>
      <c r="E179" s="16" t="str">
        <f t="array" ref="E179">_xlfn.XLOOKUP(F179, Filmes!$D$2:$D$344, Filmes!$A$2:$A$344, "")</f>
        <v>057</v>
      </c>
      <c r="F179" s="7" t="s">
        <v>833</v>
      </c>
      <c r="G179" s="17" t="s">
        <v>4137</v>
      </c>
      <c r="H179" s="17" t="s">
        <v>4138</v>
      </c>
      <c r="I179" s="19">
        <v>1.0</v>
      </c>
      <c r="J179" s="5"/>
      <c r="K179" s="5"/>
      <c r="L179" s="5"/>
      <c r="M179" s="5"/>
    </row>
    <row r="180" ht="15.75" customHeight="1">
      <c r="A180" s="14">
        <v>46301.0</v>
      </c>
      <c r="B180" s="5" t="s">
        <v>4121</v>
      </c>
      <c r="C180" s="15">
        <v>0.75</v>
      </c>
      <c r="D180" s="5" t="s">
        <v>816</v>
      </c>
      <c r="E180" s="16" t="str">
        <f t="array" ref="E180">_xlfn.XLOOKUP(F180, Filmes!$D$2:$D$344, Filmes!$A$2:$A$344, "")</f>
        <v>057</v>
      </c>
      <c r="F180" s="7" t="s">
        <v>833</v>
      </c>
      <c r="G180" s="17" t="s">
        <v>4141</v>
      </c>
      <c r="H180" s="17" t="s">
        <v>4142</v>
      </c>
      <c r="I180" s="18"/>
      <c r="J180" s="5"/>
      <c r="K180" s="5"/>
      <c r="L180" s="5"/>
      <c r="M180" s="5"/>
    </row>
    <row r="181" ht="15.75" customHeight="1">
      <c r="A181" s="14">
        <v>46303.0</v>
      </c>
      <c r="B181" s="5" t="s">
        <v>4124</v>
      </c>
      <c r="C181" s="15">
        <v>0.5625</v>
      </c>
      <c r="D181" s="5" t="s">
        <v>816</v>
      </c>
      <c r="E181" s="16" t="str">
        <f t="array" ref="E181">_xlfn.XLOOKUP(F181, Filmes!$D$2:$D$344, Filmes!$A$2:$A$344, "")</f>
        <v>057</v>
      </c>
      <c r="F181" s="7" t="s">
        <v>833</v>
      </c>
      <c r="G181" s="17" t="s">
        <v>4133</v>
      </c>
      <c r="H181" s="17" t="s">
        <v>4134</v>
      </c>
      <c r="I181" s="19">
        <v>1.0</v>
      </c>
      <c r="J181" s="5"/>
      <c r="K181" s="5"/>
      <c r="L181" s="5"/>
      <c r="M181" s="5"/>
    </row>
    <row r="182" ht="15.75" customHeight="1">
      <c r="A182" s="14">
        <v>46306.0</v>
      </c>
      <c r="B182" s="5" t="s">
        <v>4136</v>
      </c>
      <c r="C182" s="15">
        <v>0.875</v>
      </c>
      <c r="D182" s="5" t="s">
        <v>816</v>
      </c>
      <c r="E182" s="16" t="str">
        <f t="array" ref="E182">_xlfn.XLOOKUP(F182, Filmes!$D$2:$D$344, Filmes!$A$2:$A$344, "")</f>
        <v>057</v>
      </c>
      <c r="F182" s="7" t="s">
        <v>833</v>
      </c>
      <c r="G182" s="17" t="s">
        <v>4130</v>
      </c>
      <c r="H182" s="17" t="s">
        <v>4131</v>
      </c>
      <c r="I182" s="19">
        <v>5.0</v>
      </c>
      <c r="J182" s="5"/>
      <c r="K182" s="5"/>
      <c r="L182" s="5"/>
      <c r="M182" s="5"/>
    </row>
    <row r="183" ht="15.75" customHeight="1">
      <c r="A183" s="14">
        <v>46297.0</v>
      </c>
      <c r="B183" s="5" t="s">
        <v>4135</v>
      </c>
      <c r="C183" s="15">
        <v>0.5729166666666666</v>
      </c>
      <c r="D183" s="5" t="s">
        <v>816</v>
      </c>
      <c r="E183" s="16" t="str">
        <f t="array" ref="E183">_xlfn.XLOOKUP(F183, Filmes!$D$2:$D$344, Filmes!$A$2:$A$344, "")</f>
        <v>058</v>
      </c>
      <c r="F183" s="7" t="s">
        <v>845</v>
      </c>
      <c r="G183" s="17" t="s">
        <v>4133</v>
      </c>
      <c r="H183" s="17" t="s">
        <v>4134</v>
      </c>
      <c r="I183" s="19">
        <v>2.0</v>
      </c>
      <c r="J183" s="5"/>
      <c r="K183" s="5"/>
      <c r="L183" s="5"/>
      <c r="M183" s="5"/>
    </row>
    <row r="184" ht="15.75" customHeight="1">
      <c r="A184" s="14">
        <v>46300.0</v>
      </c>
      <c r="B184" s="5" t="s">
        <v>4132</v>
      </c>
      <c r="C184" s="15">
        <v>0.78125</v>
      </c>
      <c r="D184" s="5" t="s">
        <v>816</v>
      </c>
      <c r="E184" s="16" t="str">
        <f t="array" ref="E184">_xlfn.XLOOKUP(F184, Filmes!$D$2:$D$344, Filmes!$A$2:$A$344, "")</f>
        <v>058</v>
      </c>
      <c r="F184" s="7" t="s">
        <v>845</v>
      </c>
      <c r="G184" s="17" t="s">
        <v>4130</v>
      </c>
      <c r="H184" s="17" t="s">
        <v>4131</v>
      </c>
      <c r="I184" s="19">
        <v>3.0</v>
      </c>
      <c r="J184" s="5"/>
      <c r="K184" s="5"/>
      <c r="L184" s="5"/>
      <c r="M184" s="5"/>
    </row>
    <row r="185" ht="15.75" customHeight="1">
      <c r="A185" s="14">
        <v>46306.0</v>
      </c>
      <c r="B185" s="5" t="s">
        <v>4136</v>
      </c>
      <c r="C185" s="15">
        <v>0.7083333333333334</v>
      </c>
      <c r="D185" s="5" t="s">
        <v>816</v>
      </c>
      <c r="E185" s="16" t="str">
        <f t="array" ref="E185">_xlfn.XLOOKUP(F185, Filmes!$D$2:$D$344, Filmes!$A$2:$A$344, "")</f>
        <v>058</v>
      </c>
      <c r="F185" s="7" t="s">
        <v>845</v>
      </c>
      <c r="G185" s="17" t="s">
        <v>4128</v>
      </c>
      <c r="H185" s="17" t="s">
        <v>4129</v>
      </c>
      <c r="I185" s="19">
        <v>4.0</v>
      </c>
      <c r="J185" s="5"/>
      <c r="K185" s="5"/>
      <c r="L185" s="5"/>
      <c r="M185" s="5"/>
    </row>
    <row r="186" ht="15.75" customHeight="1">
      <c r="A186" s="14">
        <v>46296.0</v>
      </c>
      <c r="B186" s="5" t="s">
        <v>4124</v>
      </c>
      <c r="C186" s="15">
        <v>0.5729166666666666</v>
      </c>
      <c r="D186" s="5" t="s">
        <v>816</v>
      </c>
      <c r="E186" s="16" t="str">
        <f t="array" ref="E186">_xlfn.XLOOKUP(F186, Filmes!$D$2:$D$344, Filmes!$A$2:$A$344, "")</f>
        <v>059</v>
      </c>
      <c r="F186" s="7" t="s">
        <v>859</v>
      </c>
      <c r="G186" s="17" t="s">
        <v>4141</v>
      </c>
      <c r="H186" s="17" t="s">
        <v>4142</v>
      </c>
      <c r="I186" s="18"/>
      <c r="J186" s="5"/>
      <c r="K186" s="5"/>
      <c r="L186" s="5"/>
      <c r="M186" s="5"/>
    </row>
    <row r="187" ht="15.75" customHeight="1">
      <c r="A187" s="14">
        <v>46299.0</v>
      </c>
      <c r="B187" s="5" t="s">
        <v>4136</v>
      </c>
      <c r="C187" s="15">
        <v>0.6875</v>
      </c>
      <c r="D187" s="5" t="s">
        <v>816</v>
      </c>
      <c r="E187" s="16" t="str">
        <f t="array" ref="E187">_xlfn.XLOOKUP(F187, Filmes!$D$2:$D$344, Filmes!$A$2:$A$344, "")</f>
        <v>059</v>
      </c>
      <c r="F187" s="7" t="s">
        <v>859</v>
      </c>
      <c r="G187" s="17" t="s">
        <v>4130</v>
      </c>
      <c r="H187" s="17" t="s">
        <v>4131</v>
      </c>
      <c r="I187" s="19">
        <v>4.0</v>
      </c>
      <c r="J187" s="5"/>
      <c r="K187" s="5"/>
      <c r="L187" s="5"/>
      <c r="M187" s="5"/>
    </row>
    <row r="188" ht="15.75" customHeight="1">
      <c r="A188" s="14">
        <v>46304.0</v>
      </c>
      <c r="B188" s="5" t="s">
        <v>4135</v>
      </c>
      <c r="C188" s="15">
        <v>0.875</v>
      </c>
      <c r="D188" s="5" t="s">
        <v>816</v>
      </c>
      <c r="E188" s="16" t="str">
        <f t="array" ref="E188">_xlfn.XLOOKUP(F188, Filmes!$D$2:$D$344, Filmes!$A$2:$A$344, "")</f>
        <v>059</v>
      </c>
      <c r="F188" s="7" t="s">
        <v>859</v>
      </c>
      <c r="G188" s="17" t="s">
        <v>4139</v>
      </c>
      <c r="H188" s="17" t="s">
        <v>4140</v>
      </c>
      <c r="I188" s="19">
        <v>3.0</v>
      </c>
      <c r="J188" s="5"/>
      <c r="K188" s="5"/>
      <c r="L188" s="5"/>
      <c r="M188" s="5"/>
    </row>
    <row r="189" ht="15.75" customHeight="1">
      <c r="A189" s="14">
        <v>46297.0</v>
      </c>
      <c r="B189" s="5" t="s">
        <v>4135</v>
      </c>
      <c r="C189" s="15">
        <v>0.5833333333333334</v>
      </c>
      <c r="D189" s="5" t="s">
        <v>816</v>
      </c>
      <c r="E189" s="16" t="str">
        <f t="array" ref="E189">_xlfn.XLOOKUP(F189, Filmes!$D$2:$D$344, Filmes!$A$2:$A$344, "")</f>
        <v>060</v>
      </c>
      <c r="F189" s="7" t="s">
        <v>871</v>
      </c>
      <c r="G189" s="17" t="s">
        <v>4125</v>
      </c>
      <c r="H189" s="17" t="s">
        <v>4126</v>
      </c>
      <c r="I189" s="19">
        <v>2.0</v>
      </c>
      <c r="J189" s="5"/>
      <c r="K189" s="5"/>
      <c r="L189" s="5"/>
      <c r="M189" s="5"/>
    </row>
    <row r="190" ht="15.75" customHeight="1">
      <c r="A190" s="14">
        <v>46299.0</v>
      </c>
      <c r="B190" s="5" t="s">
        <v>4136</v>
      </c>
      <c r="C190" s="15">
        <v>0.8958333333333334</v>
      </c>
      <c r="D190" s="5" t="s">
        <v>816</v>
      </c>
      <c r="E190" s="16" t="str">
        <f t="array" ref="E190">_xlfn.XLOOKUP(F190, Filmes!$D$2:$D$344, Filmes!$A$2:$A$344, "")</f>
        <v>060</v>
      </c>
      <c r="F190" s="7" t="s">
        <v>871</v>
      </c>
      <c r="G190" s="17" t="s">
        <v>4130</v>
      </c>
      <c r="H190" s="17" t="s">
        <v>4131</v>
      </c>
      <c r="I190" s="19">
        <v>4.0</v>
      </c>
      <c r="J190" s="5"/>
      <c r="K190" s="5"/>
      <c r="L190" s="5"/>
      <c r="M190" s="5"/>
    </row>
    <row r="191" ht="15.75" customHeight="1">
      <c r="A191" s="14">
        <v>46304.0</v>
      </c>
      <c r="B191" s="5" t="s">
        <v>4135</v>
      </c>
      <c r="C191" s="15">
        <v>0.6458333333333334</v>
      </c>
      <c r="D191" s="5" t="s">
        <v>816</v>
      </c>
      <c r="E191" s="16" t="str">
        <f t="array" ref="E191">_xlfn.XLOOKUP(F191, Filmes!$D$2:$D$344, Filmes!$A$2:$A$344, "")</f>
        <v>060</v>
      </c>
      <c r="F191" s="7" t="s">
        <v>871</v>
      </c>
      <c r="G191" s="17" t="s">
        <v>4133</v>
      </c>
      <c r="H191" s="17" t="s">
        <v>4134</v>
      </c>
      <c r="I191" s="19">
        <v>2.0</v>
      </c>
      <c r="J191" s="5"/>
      <c r="K191" s="5"/>
      <c r="L191" s="5"/>
      <c r="M191" s="5"/>
    </row>
    <row r="192" ht="15.75" customHeight="1">
      <c r="A192" s="14">
        <v>46296.0</v>
      </c>
      <c r="B192" s="5" t="s">
        <v>4124</v>
      </c>
      <c r="C192" s="15">
        <v>0.8541666666666666</v>
      </c>
      <c r="D192" s="5" t="s">
        <v>816</v>
      </c>
      <c r="E192" s="16" t="str">
        <f t="array" ref="E192">_xlfn.XLOOKUP(F192, Filmes!$D$2:$D$344, Filmes!$A$2:$A$344, "")</f>
        <v>061</v>
      </c>
      <c r="F192" s="7" t="s">
        <v>886</v>
      </c>
      <c r="G192" s="17" t="s">
        <v>4130</v>
      </c>
      <c r="H192" s="17" t="s">
        <v>4131</v>
      </c>
      <c r="I192" s="19">
        <v>2.0</v>
      </c>
      <c r="J192" s="5"/>
      <c r="K192" s="5"/>
      <c r="L192" s="5"/>
      <c r="M192" s="5"/>
    </row>
    <row r="193" ht="15.75" customHeight="1">
      <c r="A193" s="14">
        <v>46302.0</v>
      </c>
      <c r="B193" s="5" t="s">
        <v>4143</v>
      </c>
      <c r="C193" s="15">
        <v>0.5625</v>
      </c>
      <c r="D193" s="5" t="s">
        <v>816</v>
      </c>
      <c r="E193" s="16" t="str">
        <f t="array" ref="E193">_xlfn.XLOOKUP(F193, Filmes!$D$2:$D$344, Filmes!$A$2:$A$344, "")</f>
        <v>061</v>
      </c>
      <c r="F193" s="7" t="s">
        <v>886</v>
      </c>
      <c r="G193" s="17" t="s">
        <v>4125</v>
      </c>
      <c r="H193" s="17" t="s">
        <v>4126</v>
      </c>
      <c r="I193" s="19">
        <v>2.0</v>
      </c>
      <c r="J193" s="5"/>
      <c r="K193" s="5"/>
      <c r="L193" s="5"/>
      <c r="M193" s="5"/>
    </row>
    <row r="194" ht="15.75" customHeight="1">
      <c r="A194" s="14">
        <v>46305.0</v>
      </c>
      <c r="B194" s="5" t="s">
        <v>4127</v>
      </c>
      <c r="C194" s="15">
        <v>0.78125</v>
      </c>
      <c r="D194" s="5" t="s">
        <v>816</v>
      </c>
      <c r="E194" s="16" t="str">
        <f t="array" ref="E194">_xlfn.XLOOKUP(F194, Filmes!$D$2:$D$344, Filmes!$A$2:$A$344, "")</f>
        <v>061</v>
      </c>
      <c r="F194" s="7" t="s">
        <v>886</v>
      </c>
      <c r="G194" s="17" t="s">
        <v>4128</v>
      </c>
      <c r="H194" s="17" t="s">
        <v>4129</v>
      </c>
      <c r="I194" s="19">
        <v>1.0</v>
      </c>
      <c r="J194" s="5"/>
      <c r="K194" s="5"/>
      <c r="L194" s="5"/>
      <c r="M194" s="5"/>
    </row>
    <row r="195" ht="15.75" customHeight="1">
      <c r="A195" s="14">
        <v>46297.0</v>
      </c>
      <c r="B195" s="5" t="s">
        <v>4135</v>
      </c>
      <c r="C195" s="15">
        <v>0.8958333333333334</v>
      </c>
      <c r="D195" s="5" t="s">
        <v>816</v>
      </c>
      <c r="E195" s="16" t="str">
        <f t="array" ref="E195">_xlfn.XLOOKUP(F195, Filmes!$D$2:$D$344, Filmes!$A$2:$A$344, "")</f>
        <v>062</v>
      </c>
      <c r="F195" s="7" t="s">
        <v>901</v>
      </c>
      <c r="G195" s="17" t="s">
        <v>4130</v>
      </c>
      <c r="H195" s="17" t="s">
        <v>4131</v>
      </c>
      <c r="I195" s="19">
        <v>1.0</v>
      </c>
      <c r="J195" s="5"/>
      <c r="K195" s="5"/>
      <c r="L195" s="5"/>
      <c r="M195" s="5"/>
    </row>
    <row r="196" ht="15.75" customHeight="1">
      <c r="A196" s="14">
        <v>46299.0</v>
      </c>
      <c r="B196" s="5" t="s">
        <v>4136</v>
      </c>
      <c r="C196" s="15">
        <v>0.7708333333333334</v>
      </c>
      <c r="D196" s="5" t="s">
        <v>816</v>
      </c>
      <c r="E196" s="16" t="str">
        <f t="array" ref="E196">_xlfn.XLOOKUP(F196, Filmes!$D$2:$D$344, Filmes!$A$2:$A$344, "")</f>
        <v>062</v>
      </c>
      <c r="F196" s="7" t="s">
        <v>901</v>
      </c>
      <c r="G196" s="17" t="s">
        <v>4139</v>
      </c>
      <c r="H196" s="17" t="s">
        <v>4140</v>
      </c>
      <c r="I196" s="19">
        <v>3.0</v>
      </c>
      <c r="J196" s="5"/>
      <c r="K196" s="5"/>
      <c r="L196" s="5"/>
      <c r="M196" s="5"/>
    </row>
    <row r="197" ht="15.75" customHeight="1">
      <c r="A197" s="14">
        <v>46301.0</v>
      </c>
      <c r="B197" s="5" t="s">
        <v>4121</v>
      </c>
      <c r="C197" s="15">
        <v>0.6875</v>
      </c>
      <c r="D197" s="5" t="s">
        <v>816</v>
      </c>
      <c r="E197" s="16" t="str">
        <f t="array" ref="E197">_xlfn.XLOOKUP(F197, Filmes!$D$2:$D$344, Filmes!$A$2:$A$344, "")</f>
        <v>062</v>
      </c>
      <c r="F197" s="7" t="s">
        <v>901</v>
      </c>
      <c r="G197" s="17" t="s">
        <v>4128</v>
      </c>
      <c r="H197" s="17" t="s">
        <v>4129</v>
      </c>
      <c r="I197" s="19">
        <v>2.0</v>
      </c>
      <c r="J197" s="5"/>
      <c r="K197" s="5"/>
      <c r="L197" s="5"/>
      <c r="M197" s="5"/>
    </row>
    <row r="198" ht="15.75" customHeight="1">
      <c r="A198" s="14">
        <v>46296.0</v>
      </c>
      <c r="B198" s="5" t="s">
        <v>4124</v>
      </c>
      <c r="C198" s="15">
        <v>0.7604166666666666</v>
      </c>
      <c r="D198" s="5" t="s">
        <v>816</v>
      </c>
      <c r="E198" s="16" t="str">
        <f t="array" ref="E198">_xlfn.XLOOKUP(F198, Filmes!$D$2:$D$344, Filmes!$A$2:$A$344, "")</f>
        <v>063</v>
      </c>
      <c r="F198" s="7" t="s">
        <v>916</v>
      </c>
      <c r="G198" s="17" t="s">
        <v>4133</v>
      </c>
      <c r="H198" s="17" t="s">
        <v>4134</v>
      </c>
      <c r="I198" s="19">
        <v>2.0</v>
      </c>
      <c r="J198" s="5"/>
      <c r="K198" s="5"/>
      <c r="L198" s="5"/>
      <c r="M198" s="5"/>
    </row>
    <row r="199" ht="15.75" customHeight="1">
      <c r="A199" s="14">
        <v>46298.0</v>
      </c>
      <c r="B199" s="5" t="s">
        <v>4127</v>
      </c>
      <c r="C199" s="15">
        <v>0.6666666666666666</v>
      </c>
      <c r="D199" s="5" t="s">
        <v>816</v>
      </c>
      <c r="E199" s="16" t="str">
        <f t="array" ref="E199">_xlfn.XLOOKUP(F199, Filmes!$D$2:$D$344, Filmes!$A$2:$A$344, "")</f>
        <v>063</v>
      </c>
      <c r="F199" s="7" t="s">
        <v>916</v>
      </c>
      <c r="G199" s="17" t="s">
        <v>4130</v>
      </c>
      <c r="H199" s="17" t="s">
        <v>4131</v>
      </c>
      <c r="I199" s="19">
        <v>2.0</v>
      </c>
      <c r="J199" s="5"/>
      <c r="K199" s="5"/>
      <c r="L199" s="5"/>
      <c r="M199" s="5"/>
    </row>
    <row r="200" ht="15.75" customHeight="1">
      <c r="A200" s="14">
        <v>46306.0</v>
      </c>
      <c r="B200" s="5" t="s">
        <v>4136</v>
      </c>
      <c r="C200" s="15">
        <v>0.5833333333333334</v>
      </c>
      <c r="D200" s="5" t="s">
        <v>816</v>
      </c>
      <c r="E200" s="16" t="str">
        <f t="array" ref="E200">_xlfn.XLOOKUP(F200, Filmes!$D$2:$D$344, Filmes!$A$2:$A$344, "")</f>
        <v>063</v>
      </c>
      <c r="F200" s="7" t="s">
        <v>916</v>
      </c>
      <c r="G200" s="17" t="s">
        <v>4128</v>
      </c>
      <c r="H200" s="17" t="s">
        <v>4129</v>
      </c>
      <c r="I200" s="19">
        <v>1.0</v>
      </c>
      <c r="J200" s="5"/>
      <c r="K200" s="5"/>
      <c r="L200" s="5"/>
      <c r="M200" s="5"/>
    </row>
    <row r="201" ht="15.75" customHeight="1">
      <c r="A201" s="14">
        <v>46298.0</v>
      </c>
      <c r="B201" s="5" t="s">
        <v>4127</v>
      </c>
      <c r="C201" s="15">
        <v>0.7916666666666666</v>
      </c>
      <c r="D201" s="5" t="s">
        <v>816</v>
      </c>
      <c r="E201" s="16" t="str">
        <f t="array" ref="E201">_xlfn.XLOOKUP(F201, Filmes!$D$2:$D$344, Filmes!$A$2:$A$344, "")</f>
        <v>064</v>
      </c>
      <c r="F201" s="7" t="s">
        <v>931</v>
      </c>
      <c r="G201" s="17" t="s">
        <v>4130</v>
      </c>
      <c r="H201" s="17" t="s">
        <v>4131</v>
      </c>
      <c r="I201" s="19">
        <v>4.0</v>
      </c>
      <c r="J201" s="5"/>
      <c r="K201" s="5"/>
      <c r="L201" s="5" t="s">
        <v>65</v>
      </c>
      <c r="M201" s="5"/>
    </row>
    <row r="202" ht="15.75" customHeight="1">
      <c r="A202" s="14">
        <v>46300.0</v>
      </c>
      <c r="B202" s="5" t="s">
        <v>4132</v>
      </c>
      <c r="C202" s="15">
        <v>0.59375</v>
      </c>
      <c r="D202" s="5" t="s">
        <v>816</v>
      </c>
      <c r="E202" s="16" t="str">
        <f t="array" ref="E202">_xlfn.XLOOKUP(F202, Filmes!$D$2:$D$344, Filmes!$A$2:$A$344, "")</f>
        <v>064</v>
      </c>
      <c r="F202" s="7" t="s">
        <v>931</v>
      </c>
      <c r="G202" s="17" t="s">
        <v>4139</v>
      </c>
      <c r="H202" s="17" t="s">
        <v>4140</v>
      </c>
      <c r="I202" s="19">
        <v>4.0</v>
      </c>
      <c r="J202" s="5"/>
      <c r="K202" s="5"/>
      <c r="L202" s="5"/>
      <c r="M202" s="5"/>
    </row>
    <row r="203" ht="15.75" customHeight="1">
      <c r="A203" s="14">
        <v>46305.0</v>
      </c>
      <c r="B203" s="5" t="s">
        <v>4127</v>
      </c>
      <c r="C203" s="15">
        <v>0.90625</v>
      </c>
      <c r="D203" s="5" t="s">
        <v>816</v>
      </c>
      <c r="E203" s="16" t="str">
        <f t="array" ref="E203">_xlfn.XLOOKUP(F203, Filmes!$D$2:$D$344, Filmes!$A$2:$A$344, "")</f>
        <v>064</v>
      </c>
      <c r="F203" s="7" t="s">
        <v>931</v>
      </c>
      <c r="G203" s="17" t="s">
        <v>4128</v>
      </c>
      <c r="H203" s="17" t="s">
        <v>4129</v>
      </c>
      <c r="I203" s="19">
        <v>2.0</v>
      </c>
      <c r="J203" s="5"/>
      <c r="K203" s="5"/>
      <c r="L203" s="5"/>
      <c r="M203" s="5"/>
    </row>
    <row r="204" ht="15.75" customHeight="1">
      <c r="A204" s="14">
        <v>46297.0</v>
      </c>
      <c r="B204" s="5" t="s">
        <v>4135</v>
      </c>
      <c r="C204" s="15">
        <v>0.78125</v>
      </c>
      <c r="D204" s="5" t="s">
        <v>816</v>
      </c>
      <c r="E204" s="16" t="str">
        <f t="array" ref="E204">_xlfn.XLOOKUP(F204, Filmes!$D$2:$D$344, Filmes!$A$2:$A$344, "")</f>
        <v>065</v>
      </c>
      <c r="F204" s="7" t="s">
        <v>945</v>
      </c>
      <c r="G204" s="17" t="s">
        <v>4139</v>
      </c>
      <c r="H204" s="17" t="s">
        <v>4140</v>
      </c>
      <c r="I204" s="19">
        <v>5.0</v>
      </c>
      <c r="J204" s="5"/>
      <c r="K204" s="5"/>
      <c r="L204" s="5" t="s">
        <v>65</v>
      </c>
      <c r="M204" s="5"/>
    </row>
    <row r="205" ht="15.75" customHeight="1">
      <c r="A205" s="14">
        <v>46300.0</v>
      </c>
      <c r="B205" s="5" t="s">
        <v>4132</v>
      </c>
      <c r="C205" s="15">
        <v>0.7395833333333334</v>
      </c>
      <c r="D205" s="5" t="s">
        <v>816</v>
      </c>
      <c r="E205" s="16" t="str">
        <f t="array" ref="E205">_xlfn.XLOOKUP(F205, Filmes!$D$2:$D$344, Filmes!$A$2:$A$344, "")</f>
        <v>065</v>
      </c>
      <c r="F205" s="7" t="s">
        <v>945</v>
      </c>
      <c r="G205" s="17" t="s">
        <v>4133</v>
      </c>
      <c r="H205" s="17" t="s">
        <v>4134</v>
      </c>
      <c r="I205" s="19">
        <v>2.0</v>
      </c>
      <c r="J205" s="5"/>
      <c r="K205" s="5"/>
      <c r="L205" s="5"/>
      <c r="M205" s="5"/>
    </row>
    <row r="206" ht="15.75" customHeight="1">
      <c r="A206" s="14">
        <v>46304.0</v>
      </c>
      <c r="B206" s="5" t="s">
        <v>4135</v>
      </c>
      <c r="C206" s="15">
        <v>0.6770833333333334</v>
      </c>
      <c r="D206" s="5" t="s">
        <v>816</v>
      </c>
      <c r="E206" s="16" t="str">
        <f t="array" ref="E206">_xlfn.XLOOKUP(F206, Filmes!$D$2:$D$344, Filmes!$A$2:$A$344, "")</f>
        <v>065</v>
      </c>
      <c r="F206" s="7" t="s">
        <v>945</v>
      </c>
      <c r="G206" s="17" t="s">
        <v>4130</v>
      </c>
      <c r="H206" s="17" t="s">
        <v>4131</v>
      </c>
      <c r="I206" s="19">
        <v>3.0</v>
      </c>
      <c r="J206" s="5"/>
      <c r="K206" s="5"/>
      <c r="L206" s="5"/>
      <c r="M206" s="5"/>
    </row>
    <row r="207" ht="15.75" customHeight="1">
      <c r="A207" s="14">
        <v>46302.0</v>
      </c>
      <c r="B207" s="5" t="s">
        <v>4143</v>
      </c>
      <c r="C207" s="15">
        <v>0.8854166666666666</v>
      </c>
      <c r="D207" s="5" t="s">
        <v>816</v>
      </c>
      <c r="E207" s="16" t="str">
        <f t="array" ref="E207">_xlfn.XLOOKUP(F207, Filmes!$D$2:$D$344, Filmes!$A$2:$A$344, "")</f>
        <v>066</v>
      </c>
      <c r="F207" s="7" t="s">
        <v>957</v>
      </c>
      <c r="G207" s="17" t="s">
        <v>4130</v>
      </c>
      <c r="H207" s="17" t="s">
        <v>4131</v>
      </c>
      <c r="I207" s="19">
        <v>3.0</v>
      </c>
      <c r="J207" s="5"/>
      <c r="K207" s="5"/>
      <c r="L207" s="5" t="s">
        <v>65</v>
      </c>
      <c r="M207" s="5"/>
    </row>
    <row r="208" ht="15.75" customHeight="1">
      <c r="A208" s="14">
        <v>46304.0</v>
      </c>
      <c r="B208" s="5" t="s">
        <v>4135</v>
      </c>
      <c r="C208" s="15">
        <v>0.6875</v>
      </c>
      <c r="D208" s="5" t="s">
        <v>816</v>
      </c>
      <c r="E208" s="16" t="str">
        <f t="array" ref="E208">_xlfn.XLOOKUP(F208, Filmes!$D$2:$D$344, Filmes!$A$2:$A$344, "")</f>
        <v>066</v>
      </c>
      <c r="F208" s="7" t="s">
        <v>957</v>
      </c>
      <c r="G208" s="17" t="s">
        <v>4133</v>
      </c>
      <c r="H208" s="17" t="s">
        <v>4134</v>
      </c>
      <c r="I208" s="19">
        <v>1.0</v>
      </c>
      <c r="J208" s="5"/>
      <c r="K208" s="5"/>
      <c r="L208" s="5"/>
      <c r="M208" s="5"/>
    </row>
    <row r="209" ht="15.75" customHeight="1">
      <c r="A209" s="14">
        <v>46306.0</v>
      </c>
      <c r="B209" s="5" t="s">
        <v>4136</v>
      </c>
      <c r="C209" s="15">
        <v>0.5833333333333334</v>
      </c>
      <c r="D209" s="5" t="s">
        <v>816</v>
      </c>
      <c r="E209" s="16" t="str">
        <f t="array" ref="E209">_xlfn.XLOOKUP(F209, Filmes!$D$2:$D$344, Filmes!$A$2:$A$344, "")</f>
        <v>066</v>
      </c>
      <c r="F209" s="7" t="s">
        <v>957</v>
      </c>
      <c r="G209" s="17" t="s">
        <v>4139</v>
      </c>
      <c r="H209" s="17" t="s">
        <v>4140</v>
      </c>
      <c r="I209" s="19">
        <v>3.0</v>
      </c>
      <c r="J209" s="5"/>
      <c r="K209" s="5"/>
      <c r="L209" s="5"/>
      <c r="M209" s="5"/>
    </row>
    <row r="210" ht="15.75" customHeight="1">
      <c r="A210" s="14">
        <v>46301.0</v>
      </c>
      <c r="B210" s="5" t="s">
        <v>4121</v>
      </c>
      <c r="C210" s="15">
        <v>0.8854166666666666</v>
      </c>
      <c r="D210" s="5" t="s">
        <v>816</v>
      </c>
      <c r="E210" s="16" t="str">
        <f t="array" ref="E210">_xlfn.XLOOKUP(F210, Filmes!$D$2:$D$344, Filmes!$A$2:$A$344, "")</f>
        <v>067</v>
      </c>
      <c r="F210" s="7" t="s">
        <v>968</v>
      </c>
      <c r="G210" s="17" t="s">
        <v>4130</v>
      </c>
      <c r="H210" s="17" t="s">
        <v>4131</v>
      </c>
      <c r="I210" s="19">
        <v>3.0</v>
      </c>
      <c r="J210" s="5"/>
      <c r="K210" s="5"/>
      <c r="L210" s="5" t="s">
        <v>65</v>
      </c>
      <c r="M210" s="5"/>
    </row>
    <row r="211" ht="15.75" customHeight="1">
      <c r="A211" s="14">
        <v>46303.0</v>
      </c>
      <c r="B211" s="5" t="s">
        <v>4124</v>
      </c>
      <c r="C211" s="15">
        <v>0.5729166666666666</v>
      </c>
      <c r="D211" s="5" t="s">
        <v>816</v>
      </c>
      <c r="E211" s="16" t="str">
        <f t="array" ref="E211">_xlfn.XLOOKUP(F211, Filmes!$D$2:$D$344, Filmes!$A$2:$A$344, "")</f>
        <v>067</v>
      </c>
      <c r="F211" s="7" t="s">
        <v>968</v>
      </c>
      <c r="G211" s="17" t="s">
        <v>4133</v>
      </c>
      <c r="H211" s="17" t="s">
        <v>4134</v>
      </c>
      <c r="I211" s="19">
        <v>2.0</v>
      </c>
      <c r="J211" s="5"/>
      <c r="K211" s="5"/>
      <c r="L211" s="5"/>
      <c r="M211" s="5"/>
    </row>
    <row r="212" ht="15.75" customHeight="1">
      <c r="A212" s="14">
        <v>46306.0</v>
      </c>
      <c r="B212" s="5" t="s">
        <v>4136</v>
      </c>
      <c r="C212" s="15">
        <v>0.6875</v>
      </c>
      <c r="D212" s="5" t="s">
        <v>816</v>
      </c>
      <c r="E212" s="16" t="str">
        <f t="array" ref="E212">_xlfn.XLOOKUP(F212, Filmes!$D$2:$D$344, Filmes!$A$2:$A$344, "")</f>
        <v>067</v>
      </c>
      <c r="F212" s="7" t="s">
        <v>968</v>
      </c>
      <c r="G212" s="17" t="s">
        <v>4139</v>
      </c>
      <c r="H212" s="17" t="s">
        <v>4140</v>
      </c>
      <c r="I212" s="19">
        <v>4.0</v>
      </c>
      <c r="J212" s="5"/>
      <c r="K212" s="5"/>
      <c r="L212" s="5"/>
      <c r="M212" s="5"/>
    </row>
    <row r="213" ht="15.75" customHeight="1">
      <c r="A213" s="14">
        <v>46300.0</v>
      </c>
      <c r="B213" s="5" t="s">
        <v>4132</v>
      </c>
      <c r="C213" s="15">
        <v>0.8854166666666666</v>
      </c>
      <c r="D213" s="5" t="s">
        <v>816</v>
      </c>
      <c r="E213" s="16" t="str">
        <f t="array" ref="E213">_xlfn.XLOOKUP(F213, Filmes!$D$2:$D$344, Filmes!$A$2:$A$344, "")</f>
        <v>068</v>
      </c>
      <c r="F213" s="7" t="s">
        <v>982</v>
      </c>
      <c r="G213" s="17" t="s">
        <v>4130</v>
      </c>
      <c r="H213" s="17" t="s">
        <v>4131</v>
      </c>
      <c r="I213" s="19">
        <v>3.0</v>
      </c>
      <c r="J213" s="5"/>
      <c r="K213" s="5"/>
      <c r="L213" s="5"/>
      <c r="M213" s="5"/>
    </row>
    <row r="214" ht="15.75" customHeight="1">
      <c r="A214" s="14">
        <v>46303.0</v>
      </c>
      <c r="B214" s="5" t="s">
        <v>4124</v>
      </c>
      <c r="C214" s="15">
        <v>0.7395833333333334</v>
      </c>
      <c r="D214" s="5" t="s">
        <v>816</v>
      </c>
      <c r="E214" s="16" t="str">
        <f t="array" ref="E214">_xlfn.XLOOKUP(F214, Filmes!$D$2:$D$344, Filmes!$A$2:$A$344, "")</f>
        <v>068</v>
      </c>
      <c r="F214" s="7" t="s">
        <v>982</v>
      </c>
      <c r="G214" s="17" t="s">
        <v>4133</v>
      </c>
      <c r="H214" s="17" t="s">
        <v>4134</v>
      </c>
      <c r="I214" s="19">
        <v>2.0</v>
      </c>
      <c r="J214" s="5"/>
      <c r="K214" s="5"/>
      <c r="L214" s="5"/>
      <c r="M214" s="5"/>
    </row>
    <row r="215" ht="15.75" customHeight="1">
      <c r="A215" s="14">
        <v>46306.0</v>
      </c>
      <c r="B215" s="5" t="s">
        <v>4136</v>
      </c>
      <c r="C215" s="15">
        <v>0.6875</v>
      </c>
      <c r="D215" s="5" t="s">
        <v>816</v>
      </c>
      <c r="E215" s="16" t="str">
        <f t="array" ref="E215">_xlfn.XLOOKUP(F215, Filmes!$D$2:$D$344, Filmes!$A$2:$A$344, "")</f>
        <v>068</v>
      </c>
      <c r="F215" s="7" t="s">
        <v>982</v>
      </c>
      <c r="G215" s="17" t="s">
        <v>4128</v>
      </c>
      <c r="H215" s="17" t="s">
        <v>4129</v>
      </c>
      <c r="I215" s="19">
        <v>1.0</v>
      </c>
      <c r="J215" s="5"/>
      <c r="K215" s="5"/>
      <c r="L215" s="5"/>
      <c r="M215" s="5"/>
    </row>
    <row r="216" ht="15.75" customHeight="1">
      <c r="A216" s="14">
        <v>46297.0</v>
      </c>
      <c r="B216" s="5" t="s">
        <v>4135</v>
      </c>
      <c r="C216" s="15">
        <v>0.7708333333333334</v>
      </c>
      <c r="D216" s="5" t="s">
        <v>816</v>
      </c>
      <c r="E216" s="16" t="str">
        <f t="array" ref="E216">_xlfn.XLOOKUP(F216, Filmes!$D$2:$D$344, Filmes!$A$2:$A$344, "")</f>
        <v>069</v>
      </c>
      <c r="F216" s="7" t="s">
        <v>997</v>
      </c>
      <c r="G216" s="17" t="s">
        <v>4130</v>
      </c>
      <c r="H216" s="17" t="s">
        <v>4131</v>
      </c>
      <c r="I216" s="19">
        <v>2.0</v>
      </c>
      <c r="J216" s="5"/>
      <c r="K216" s="5"/>
      <c r="L216" s="5"/>
      <c r="M216" s="5"/>
    </row>
    <row r="217" ht="15.75" customHeight="1">
      <c r="A217" s="14">
        <v>46301.0</v>
      </c>
      <c r="B217" s="5" t="s">
        <v>4121</v>
      </c>
      <c r="C217" s="15">
        <v>0.875</v>
      </c>
      <c r="D217" s="5" t="s">
        <v>816</v>
      </c>
      <c r="E217" s="16" t="str">
        <f t="array" ref="E217">_xlfn.XLOOKUP(F217, Filmes!$D$2:$D$344, Filmes!$A$2:$A$344, "")</f>
        <v>069</v>
      </c>
      <c r="F217" s="7" t="s">
        <v>997</v>
      </c>
      <c r="G217" s="17" t="s">
        <v>4139</v>
      </c>
      <c r="H217" s="17" t="s">
        <v>4140</v>
      </c>
      <c r="I217" s="19">
        <v>4.0</v>
      </c>
      <c r="J217" s="5"/>
      <c r="K217" s="5"/>
      <c r="L217" s="5"/>
      <c r="M217" s="5"/>
    </row>
    <row r="218" ht="15.75" customHeight="1">
      <c r="A218" s="14">
        <v>46306.0</v>
      </c>
      <c r="B218" s="5" t="s">
        <v>4136</v>
      </c>
      <c r="C218" s="15">
        <v>0.6979166666666666</v>
      </c>
      <c r="D218" s="5" t="s">
        <v>816</v>
      </c>
      <c r="E218" s="16" t="str">
        <f t="array" ref="E218">_xlfn.XLOOKUP(F218, Filmes!$D$2:$D$344, Filmes!$A$2:$A$344, "")</f>
        <v>069</v>
      </c>
      <c r="F218" s="7" t="s">
        <v>997</v>
      </c>
      <c r="G218" s="17" t="s">
        <v>4128</v>
      </c>
      <c r="H218" s="17" t="s">
        <v>4129</v>
      </c>
      <c r="I218" s="19">
        <v>2.0</v>
      </c>
      <c r="J218" s="5"/>
      <c r="K218" s="5"/>
      <c r="L218" s="5"/>
      <c r="M218" s="5"/>
    </row>
    <row r="219" ht="15.75" customHeight="1">
      <c r="A219" s="14">
        <v>46296.0</v>
      </c>
      <c r="B219" s="5" t="s">
        <v>4124</v>
      </c>
      <c r="C219" s="15">
        <v>0.8472222222222222</v>
      </c>
      <c r="D219" s="5" t="s">
        <v>816</v>
      </c>
      <c r="E219" s="16" t="str">
        <f t="array" ref="E219">_xlfn.XLOOKUP(F219, Filmes!$D$2:$D$344, Filmes!$A$2:$A$344, "")</f>
        <v>070</v>
      </c>
      <c r="F219" s="7" t="s">
        <v>1012</v>
      </c>
      <c r="G219" s="17" t="s">
        <v>4133</v>
      </c>
      <c r="H219" s="17" t="s">
        <v>4134</v>
      </c>
      <c r="I219" s="19">
        <v>2.0</v>
      </c>
      <c r="J219" s="5"/>
      <c r="K219" s="5"/>
      <c r="L219" s="5"/>
      <c r="M219" s="5"/>
    </row>
    <row r="220" ht="15.75" customHeight="1">
      <c r="A220" s="14">
        <v>46301.0</v>
      </c>
      <c r="B220" s="5" t="s">
        <v>4121</v>
      </c>
      <c r="C220" s="15">
        <v>0.6770833333333334</v>
      </c>
      <c r="D220" s="5" t="s">
        <v>816</v>
      </c>
      <c r="E220" s="16" t="str">
        <f t="array" ref="E220">_xlfn.XLOOKUP(F220, Filmes!$D$2:$D$344, Filmes!$A$2:$A$344, "")</f>
        <v>070</v>
      </c>
      <c r="F220" s="7" t="s">
        <v>1012</v>
      </c>
      <c r="G220" s="17" t="s">
        <v>4130</v>
      </c>
      <c r="H220" s="17" t="s">
        <v>4131</v>
      </c>
      <c r="I220" s="19">
        <v>3.0</v>
      </c>
      <c r="J220" s="5"/>
      <c r="K220" s="5"/>
      <c r="L220" s="5"/>
      <c r="M220" s="5"/>
    </row>
    <row r="221" ht="15.75" customHeight="1">
      <c r="A221" s="14">
        <v>46305.0</v>
      </c>
      <c r="B221" s="5" t="s">
        <v>4127</v>
      </c>
      <c r="C221" s="15">
        <v>0.59375</v>
      </c>
      <c r="D221" s="5" t="s">
        <v>816</v>
      </c>
      <c r="E221" s="16" t="str">
        <f t="array" ref="E221">_xlfn.XLOOKUP(F221, Filmes!$D$2:$D$344, Filmes!$A$2:$A$344, "")</f>
        <v>070</v>
      </c>
      <c r="F221" s="7" t="s">
        <v>1012</v>
      </c>
      <c r="G221" s="17" t="s">
        <v>4139</v>
      </c>
      <c r="H221" s="17" t="s">
        <v>4140</v>
      </c>
      <c r="I221" s="19">
        <v>4.0</v>
      </c>
      <c r="J221" s="5"/>
      <c r="K221" s="5"/>
      <c r="L221" s="5"/>
      <c r="M221" s="5"/>
    </row>
    <row r="222" ht="15.75" customHeight="1">
      <c r="A222" s="14">
        <v>46304.0</v>
      </c>
      <c r="B222" s="5" t="s">
        <v>4135</v>
      </c>
      <c r="C222" s="15">
        <v>0.78125</v>
      </c>
      <c r="D222" s="5" t="s">
        <v>816</v>
      </c>
      <c r="E222" s="16" t="str">
        <f t="array" ref="E222">_xlfn.XLOOKUP(F222, Filmes!$D$2:$D$344, Filmes!$A$2:$A$344, "")</f>
        <v>071</v>
      </c>
      <c r="F222" s="7" t="s">
        <v>1027</v>
      </c>
      <c r="G222" s="17" t="s">
        <v>4130</v>
      </c>
      <c r="H222" s="17" t="s">
        <v>4131</v>
      </c>
      <c r="I222" s="19">
        <v>4.0</v>
      </c>
      <c r="J222" s="5"/>
      <c r="K222" s="5"/>
      <c r="L222" s="5" t="s">
        <v>65</v>
      </c>
      <c r="M222" s="5"/>
    </row>
    <row r="223" ht="15.75" customHeight="1">
      <c r="A223" s="14">
        <v>46306.0</v>
      </c>
      <c r="B223" s="5" t="s">
        <v>4136</v>
      </c>
      <c r="C223" s="15">
        <v>0.65625</v>
      </c>
      <c r="D223" s="5" t="s">
        <v>816</v>
      </c>
      <c r="E223" s="16" t="str">
        <f t="array" ref="E223">_xlfn.XLOOKUP(F223, Filmes!$D$2:$D$344, Filmes!$A$2:$A$344, "")</f>
        <v>071</v>
      </c>
      <c r="F223" s="7" t="s">
        <v>1027</v>
      </c>
      <c r="G223" s="17" t="s">
        <v>4133</v>
      </c>
      <c r="H223" s="17" t="s">
        <v>4134</v>
      </c>
      <c r="I223" s="19">
        <v>2.0</v>
      </c>
      <c r="J223" s="5"/>
      <c r="K223" s="5"/>
      <c r="L223" s="5"/>
      <c r="M223" s="5"/>
    </row>
    <row r="224" ht="15.75" customHeight="1">
      <c r="A224" s="14">
        <v>46308.0</v>
      </c>
      <c r="B224" s="5" t="s">
        <v>4121</v>
      </c>
      <c r="C224" s="15">
        <v>0.875</v>
      </c>
      <c r="D224" s="5" t="s">
        <v>816</v>
      </c>
      <c r="E224" s="16" t="str">
        <f t="array" ref="E224">_xlfn.XLOOKUP(F224, Filmes!$D$2:$D$344, Filmes!$A$2:$A$344, "")</f>
        <v>071</v>
      </c>
      <c r="F224" s="7" t="s">
        <v>1027</v>
      </c>
      <c r="G224" s="17" t="s">
        <v>4139</v>
      </c>
      <c r="H224" s="17" t="s">
        <v>4140</v>
      </c>
      <c r="I224" s="19">
        <v>4.0</v>
      </c>
      <c r="J224" s="5"/>
      <c r="K224" s="5"/>
      <c r="L224" s="5"/>
      <c r="M224" s="5"/>
    </row>
    <row r="225" ht="15.75" customHeight="1">
      <c r="A225" s="14">
        <v>46296.0</v>
      </c>
      <c r="B225" s="5" t="s">
        <v>4124</v>
      </c>
      <c r="C225" s="15">
        <v>0.8541666666666666</v>
      </c>
      <c r="D225" s="5" t="s">
        <v>816</v>
      </c>
      <c r="E225" s="16" t="str">
        <f t="array" ref="E225">_xlfn.XLOOKUP(F225, Filmes!$D$2:$D$344, Filmes!$A$2:$A$344, "")</f>
        <v>072</v>
      </c>
      <c r="F225" s="7" t="s">
        <v>1040</v>
      </c>
      <c r="G225" s="17" t="s">
        <v>4141</v>
      </c>
      <c r="H225" s="17" t="s">
        <v>4142</v>
      </c>
      <c r="I225" s="18"/>
      <c r="J225" s="5"/>
      <c r="K225" s="5"/>
      <c r="L225" s="5"/>
      <c r="M225" s="5"/>
    </row>
    <row r="226" ht="15.75" customHeight="1">
      <c r="A226" s="14">
        <v>46299.0</v>
      </c>
      <c r="B226" s="5" t="s">
        <v>4136</v>
      </c>
      <c r="C226" s="15">
        <v>0.7604166666666666</v>
      </c>
      <c r="D226" s="5" t="s">
        <v>816</v>
      </c>
      <c r="E226" s="16" t="str">
        <f t="array" ref="E226">_xlfn.XLOOKUP(F226, Filmes!$D$2:$D$344, Filmes!$A$2:$A$344, "")</f>
        <v>072</v>
      </c>
      <c r="F226" s="7" t="s">
        <v>1040</v>
      </c>
      <c r="G226" s="17" t="s">
        <v>4128</v>
      </c>
      <c r="H226" s="17" t="s">
        <v>4129</v>
      </c>
      <c r="I226" s="19">
        <v>3.0</v>
      </c>
      <c r="J226" s="5"/>
      <c r="K226" s="5"/>
      <c r="L226" s="5"/>
      <c r="M226" s="5"/>
    </row>
    <row r="227" ht="15.75" customHeight="1">
      <c r="A227" s="14">
        <v>46302.0</v>
      </c>
      <c r="B227" s="5" t="s">
        <v>4143</v>
      </c>
      <c r="C227" s="15">
        <v>0.6875</v>
      </c>
      <c r="D227" s="5" t="s">
        <v>816</v>
      </c>
      <c r="E227" s="16" t="str">
        <f t="array" ref="E227">_xlfn.XLOOKUP(F227, Filmes!$D$2:$D$344, Filmes!$A$2:$A$344, "")</f>
        <v>072</v>
      </c>
      <c r="F227" s="7" t="s">
        <v>1040</v>
      </c>
      <c r="G227" s="17" t="s">
        <v>4130</v>
      </c>
      <c r="H227" s="17" t="s">
        <v>4131</v>
      </c>
      <c r="I227" s="19">
        <v>1.0</v>
      </c>
      <c r="J227" s="5"/>
      <c r="K227" s="5"/>
      <c r="L227" s="5"/>
      <c r="M227" s="5"/>
    </row>
    <row r="228" ht="15.75" customHeight="1">
      <c r="A228" s="14">
        <v>46299.0</v>
      </c>
      <c r="B228" s="5" t="s">
        <v>4136</v>
      </c>
      <c r="C228" s="15">
        <v>0.6041666666666666</v>
      </c>
      <c r="D228" s="5" t="s">
        <v>816</v>
      </c>
      <c r="E228" s="16" t="str">
        <f t="array" ref="E228">_xlfn.XLOOKUP(F228, Filmes!$D$2:$D$344, Filmes!$A$2:$A$344, "")</f>
        <v>073</v>
      </c>
      <c r="F228" s="7" t="s">
        <v>1053</v>
      </c>
      <c r="G228" s="17" t="s">
        <v>4139</v>
      </c>
      <c r="H228" s="17" t="s">
        <v>4140</v>
      </c>
      <c r="I228" s="19">
        <v>3.0</v>
      </c>
      <c r="J228" s="5"/>
      <c r="K228" s="5"/>
      <c r="L228" s="5"/>
      <c r="M228" s="5"/>
    </row>
    <row r="229" ht="15.75" customHeight="1">
      <c r="A229" s="14">
        <v>46301.0</v>
      </c>
      <c r="B229" s="5" t="s">
        <v>4121</v>
      </c>
      <c r="C229" s="15">
        <v>0.8958333333333334</v>
      </c>
      <c r="D229" s="5" t="s">
        <v>816</v>
      </c>
      <c r="E229" s="16" t="str">
        <f t="array" ref="E229">_xlfn.XLOOKUP(F229, Filmes!$D$2:$D$344, Filmes!$A$2:$A$344, "")</f>
        <v>073</v>
      </c>
      <c r="F229" s="7" t="s">
        <v>1053</v>
      </c>
      <c r="G229" s="17" t="s">
        <v>4130</v>
      </c>
      <c r="H229" s="17" t="s">
        <v>4131</v>
      </c>
      <c r="I229" s="19">
        <v>1.0</v>
      </c>
      <c r="J229" s="5"/>
      <c r="K229" s="5"/>
      <c r="L229" s="5"/>
      <c r="M229" s="5"/>
    </row>
    <row r="230" ht="15.75" customHeight="1">
      <c r="A230" s="14">
        <v>46303.0</v>
      </c>
      <c r="B230" s="5" t="s">
        <v>4124</v>
      </c>
      <c r="C230" s="15">
        <v>0.6666666666666666</v>
      </c>
      <c r="D230" s="5" t="s">
        <v>816</v>
      </c>
      <c r="E230" s="16" t="str">
        <f t="array" ref="E230">_xlfn.XLOOKUP(F230, Filmes!$D$2:$D$344, Filmes!$A$2:$A$344, "")</f>
        <v>073</v>
      </c>
      <c r="F230" s="7" t="s">
        <v>1053</v>
      </c>
      <c r="G230" s="17" t="s">
        <v>4133</v>
      </c>
      <c r="H230" s="17" t="s">
        <v>4134</v>
      </c>
      <c r="I230" s="19">
        <v>1.0</v>
      </c>
      <c r="J230" s="5"/>
      <c r="K230" s="5"/>
      <c r="L230" s="5"/>
      <c r="M230" s="5"/>
    </row>
    <row r="231" ht="15.75" customHeight="1">
      <c r="A231" s="14">
        <v>46296.0</v>
      </c>
      <c r="B231" s="5" t="s">
        <v>4124</v>
      </c>
      <c r="C231" s="15">
        <v>0.5833333333333334</v>
      </c>
      <c r="D231" s="5" t="s">
        <v>816</v>
      </c>
      <c r="E231" s="16" t="str">
        <f t="array" ref="E231">_xlfn.XLOOKUP(F231, Filmes!$D$2:$D$344, Filmes!$A$2:$A$344, "")</f>
        <v>074</v>
      </c>
      <c r="F231" s="7" t="s">
        <v>1067</v>
      </c>
      <c r="G231" s="17" t="s">
        <v>4125</v>
      </c>
      <c r="H231" s="17" t="s">
        <v>4126</v>
      </c>
      <c r="I231" s="19">
        <v>2.0</v>
      </c>
      <c r="J231" s="5"/>
      <c r="K231" s="5"/>
      <c r="L231" s="5"/>
      <c r="M231" s="5"/>
    </row>
    <row r="232" ht="15.75" customHeight="1">
      <c r="A232" s="14">
        <v>46298.0</v>
      </c>
      <c r="B232" s="5" t="s">
        <v>4127</v>
      </c>
      <c r="C232" s="15">
        <v>0.8541666666666666</v>
      </c>
      <c r="D232" s="5" t="s">
        <v>816</v>
      </c>
      <c r="E232" s="16" t="str">
        <f t="array" ref="E232">_xlfn.XLOOKUP(F232, Filmes!$D$2:$D$344, Filmes!$A$2:$A$344, "")</f>
        <v>074</v>
      </c>
      <c r="F232" s="7" t="s">
        <v>1067</v>
      </c>
      <c r="G232" s="17" t="s">
        <v>4141</v>
      </c>
      <c r="H232" s="17" t="s">
        <v>4142</v>
      </c>
      <c r="I232" s="18"/>
      <c r="J232" s="5"/>
      <c r="K232" s="5"/>
      <c r="L232" s="5"/>
      <c r="M232" s="5"/>
    </row>
    <row r="233" ht="15.75" customHeight="1">
      <c r="A233" s="14">
        <v>46302.0</v>
      </c>
      <c r="B233" s="5" t="s">
        <v>4143</v>
      </c>
      <c r="C233" s="15">
        <v>0.7916666666666666</v>
      </c>
      <c r="D233" s="5" t="s">
        <v>816</v>
      </c>
      <c r="E233" s="16" t="str">
        <f t="array" ref="E233">_xlfn.XLOOKUP(F233, Filmes!$D$2:$D$344, Filmes!$A$2:$A$344, "")</f>
        <v>074</v>
      </c>
      <c r="F233" s="7" t="s">
        <v>1067</v>
      </c>
      <c r="G233" s="17" t="s">
        <v>4130</v>
      </c>
      <c r="H233" s="17" t="s">
        <v>4131</v>
      </c>
      <c r="I233" s="19">
        <v>1.0</v>
      </c>
      <c r="J233" s="5"/>
      <c r="K233" s="5"/>
      <c r="L233" s="5"/>
      <c r="M233" s="5"/>
    </row>
    <row r="234" ht="15.75" customHeight="1">
      <c r="A234" s="14">
        <v>46296.0</v>
      </c>
      <c r="B234" s="5" t="s">
        <v>4124</v>
      </c>
      <c r="C234" s="15">
        <v>0.8333333333333334</v>
      </c>
      <c r="D234" s="5" t="s">
        <v>816</v>
      </c>
      <c r="E234" s="16" t="str">
        <f t="array" ref="E234">_xlfn.XLOOKUP(F234, Filmes!$D$2:$D$344, Filmes!$A$2:$A$344, "")</f>
        <v>075</v>
      </c>
      <c r="F234" s="7" t="s">
        <v>1081</v>
      </c>
      <c r="G234" s="17" t="s">
        <v>4133</v>
      </c>
      <c r="H234" s="17" t="s">
        <v>4134</v>
      </c>
      <c r="I234" s="19">
        <v>1.0</v>
      </c>
      <c r="J234" s="5"/>
      <c r="K234" s="5"/>
      <c r="L234" s="5"/>
      <c r="M234" s="5"/>
    </row>
    <row r="235" ht="15.75" customHeight="1">
      <c r="A235" s="14">
        <v>46301.0</v>
      </c>
      <c r="B235" s="5" t="s">
        <v>4121</v>
      </c>
      <c r="C235" s="15">
        <v>0.6770833333333334</v>
      </c>
      <c r="D235" s="5" t="s">
        <v>816</v>
      </c>
      <c r="E235" s="16" t="str">
        <f t="array" ref="E235">_xlfn.XLOOKUP(F235, Filmes!$D$2:$D$344, Filmes!$A$2:$A$344, "")</f>
        <v>075</v>
      </c>
      <c r="F235" s="7" t="s">
        <v>1081</v>
      </c>
      <c r="G235" s="17" t="s">
        <v>4130</v>
      </c>
      <c r="H235" s="17" t="s">
        <v>4131</v>
      </c>
      <c r="I235" s="19">
        <v>5.0</v>
      </c>
      <c r="J235" s="5"/>
      <c r="K235" s="5"/>
      <c r="L235" s="5"/>
      <c r="M235" s="5"/>
    </row>
    <row r="236" ht="15.75" customHeight="1">
      <c r="A236" s="14">
        <v>46306.0</v>
      </c>
      <c r="B236" s="5" t="s">
        <v>4136</v>
      </c>
      <c r="C236" s="15">
        <v>0.7604166666666666</v>
      </c>
      <c r="D236" s="5" t="s">
        <v>816</v>
      </c>
      <c r="E236" s="16" t="str">
        <f t="array" ref="E236">_xlfn.XLOOKUP(F236, Filmes!$D$2:$D$344, Filmes!$A$2:$A$344, "")</f>
        <v>075</v>
      </c>
      <c r="F236" s="7" t="s">
        <v>1081</v>
      </c>
      <c r="G236" s="17" t="s">
        <v>4128</v>
      </c>
      <c r="H236" s="17" t="s">
        <v>4129</v>
      </c>
      <c r="I236" s="19">
        <v>3.0</v>
      </c>
      <c r="J236" s="5"/>
      <c r="K236" s="5"/>
      <c r="L236" s="5"/>
      <c r="M236" s="5"/>
    </row>
    <row r="237" ht="15.75" customHeight="1">
      <c r="A237" s="14">
        <v>46296.0</v>
      </c>
      <c r="B237" s="5" t="s">
        <v>4124</v>
      </c>
      <c r="C237" s="15">
        <v>0.8854166666666666</v>
      </c>
      <c r="D237" s="5" t="s">
        <v>816</v>
      </c>
      <c r="E237" s="16" t="str">
        <f t="array" ref="E237">_xlfn.XLOOKUP(F237, Filmes!$D$2:$D$344, Filmes!$A$2:$A$344, "")</f>
        <v>076</v>
      </c>
      <c r="F237" s="7" t="s">
        <v>1096</v>
      </c>
      <c r="G237" s="17" t="s">
        <v>4137</v>
      </c>
      <c r="H237" s="17" t="s">
        <v>4138</v>
      </c>
      <c r="I237" s="19">
        <v>1.0</v>
      </c>
      <c r="J237" s="5"/>
      <c r="K237" s="5"/>
      <c r="L237" s="5"/>
      <c r="M237" s="5"/>
    </row>
    <row r="238" ht="15.75" customHeight="1">
      <c r="A238" s="14">
        <v>46298.0</v>
      </c>
      <c r="B238" s="5" t="s">
        <v>4127</v>
      </c>
      <c r="C238" s="15">
        <v>0.7708333333333334</v>
      </c>
      <c r="D238" s="5" t="s">
        <v>816</v>
      </c>
      <c r="E238" s="16" t="str">
        <f t="array" ref="E238">_xlfn.XLOOKUP(F238, Filmes!$D$2:$D$344, Filmes!$A$2:$A$344, "")</f>
        <v>076</v>
      </c>
      <c r="F238" s="7" t="s">
        <v>1096</v>
      </c>
      <c r="G238" s="17" t="s">
        <v>4139</v>
      </c>
      <c r="H238" s="17" t="s">
        <v>4140</v>
      </c>
      <c r="I238" s="19">
        <v>3.0</v>
      </c>
      <c r="J238" s="5"/>
      <c r="K238" s="5"/>
      <c r="L238" s="5" t="s">
        <v>65</v>
      </c>
      <c r="M238" s="5"/>
    </row>
    <row r="239" ht="15.75" customHeight="1">
      <c r="A239" s="14">
        <v>46301.0</v>
      </c>
      <c r="B239" s="5" t="s">
        <v>4121</v>
      </c>
      <c r="C239" s="15">
        <v>0.6666666666666666</v>
      </c>
      <c r="D239" s="5" t="s">
        <v>816</v>
      </c>
      <c r="E239" s="16" t="str">
        <f t="array" ref="E239">_xlfn.XLOOKUP(F239, Filmes!$D$2:$D$344, Filmes!$A$2:$A$344, "")</f>
        <v>076</v>
      </c>
      <c r="F239" s="7" t="s">
        <v>1096</v>
      </c>
      <c r="G239" s="17" t="s">
        <v>4133</v>
      </c>
      <c r="H239" s="17" t="s">
        <v>4134</v>
      </c>
      <c r="I239" s="19">
        <v>1.0</v>
      </c>
      <c r="J239" s="5"/>
      <c r="K239" s="5"/>
      <c r="L239" s="5"/>
      <c r="M239" s="5"/>
    </row>
    <row r="240" ht="15.75" customHeight="1">
      <c r="A240" s="14">
        <v>46305.0</v>
      </c>
      <c r="B240" s="5" t="s">
        <v>4127</v>
      </c>
      <c r="C240" s="15">
        <v>0.8125</v>
      </c>
      <c r="D240" s="5" t="s">
        <v>816</v>
      </c>
      <c r="E240" s="16" t="str">
        <f t="array" ref="E240">_xlfn.XLOOKUP(F240, Filmes!$D$2:$D$344, Filmes!$A$2:$A$344, "")</f>
        <v>076</v>
      </c>
      <c r="F240" s="7" t="s">
        <v>1096</v>
      </c>
      <c r="G240" s="17" t="s">
        <v>4130</v>
      </c>
      <c r="H240" s="17" t="s">
        <v>4131</v>
      </c>
      <c r="I240" s="19">
        <v>3.0</v>
      </c>
      <c r="J240" s="5"/>
      <c r="K240" s="5"/>
      <c r="L240" s="5"/>
      <c r="M240" s="5"/>
    </row>
    <row r="241" ht="15.75" customHeight="1">
      <c r="A241" s="14">
        <v>46296.0</v>
      </c>
      <c r="B241" s="5" t="s">
        <v>4124</v>
      </c>
      <c r="C241" s="15">
        <v>0.8958333333333334</v>
      </c>
      <c r="D241" s="5" t="s">
        <v>816</v>
      </c>
      <c r="E241" s="16" t="str">
        <f t="array" ref="E241">_xlfn.XLOOKUP(F241, Filmes!$D$2:$D$344, Filmes!$A$2:$A$344, "")</f>
        <v>077</v>
      </c>
      <c r="F241" s="7" t="s">
        <v>1111</v>
      </c>
      <c r="G241" s="17" t="s">
        <v>4128</v>
      </c>
      <c r="H241" s="17" t="s">
        <v>4129</v>
      </c>
      <c r="I241" s="19">
        <v>1.0</v>
      </c>
      <c r="J241" s="5"/>
      <c r="K241" s="5"/>
      <c r="L241" s="5"/>
      <c r="M241" s="5"/>
    </row>
    <row r="242" ht="15.75" customHeight="1">
      <c r="A242" s="14">
        <v>46298.0</v>
      </c>
      <c r="B242" s="5" t="s">
        <v>4127</v>
      </c>
      <c r="C242" s="15">
        <v>0.7708333333333334</v>
      </c>
      <c r="D242" s="5" t="s">
        <v>816</v>
      </c>
      <c r="E242" s="16" t="str">
        <f t="array" ref="E242">_xlfn.XLOOKUP(F242, Filmes!$D$2:$D$344, Filmes!$A$2:$A$344, "")</f>
        <v>077</v>
      </c>
      <c r="F242" s="7" t="s">
        <v>1111</v>
      </c>
      <c r="G242" s="17" t="s">
        <v>4130</v>
      </c>
      <c r="H242" s="17" t="s">
        <v>4131</v>
      </c>
      <c r="I242" s="19">
        <v>2.0</v>
      </c>
      <c r="J242" s="5"/>
      <c r="K242" s="5"/>
      <c r="L242" s="5"/>
      <c r="M242" s="5"/>
    </row>
    <row r="243" ht="15.75" customHeight="1">
      <c r="A243" s="14">
        <v>46306.0</v>
      </c>
      <c r="B243" s="5" t="s">
        <v>4136</v>
      </c>
      <c r="C243" s="15">
        <v>0.59375</v>
      </c>
      <c r="D243" s="5" t="s">
        <v>816</v>
      </c>
      <c r="E243" s="16" t="str">
        <f t="array" ref="E243">_xlfn.XLOOKUP(F243, Filmes!$D$2:$D$344, Filmes!$A$2:$A$344, "")</f>
        <v>077</v>
      </c>
      <c r="F243" s="7" t="s">
        <v>1111</v>
      </c>
      <c r="G243" s="17" t="s">
        <v>4139</v>
      </c>
      <c r="H243" s="17" t="s">
        <v>4140</v>
      </c>
      <c r="I243" s="19">
        <v>4.0</v>
      </c>
      <c r="J243" s="5"/>
      <c r="K243" s="5"/>
      <c r="L243" s="5"/>
      <c r="M243" s="5"/>
    </row>
    <row r="244" ht="15.75" customHeight="1">
      <c r="A244" s="14">
        <v>46296.0</v>
      </c>
      <c r="B244" s="5" t="s">
        <v>4124</v>
      </c>
      <c r="C244" s="15">
        <v>0.8854166666666666</v>
      </c>
      <c r="D244" s="5" t="s">
        <v>816</v>
      </c>
      <c r="E244" s="16" t="str">
        <f t="array" ref="E244">_xlfn.XLOOKUP(F244, Filmes!$D$2:$D$344, Filmes!$A$2:$A$344, "")</f>
        <v>078</v>
      </c>
      <c r="F244" s="7" t="s">
        <v>1125</v>
      </c>
      <c r="G244" s="17" t="s">
        <v>4139</v>
      </c>
      <c r="H244" s="17" t="s">
        <v>4140</v>
      </c>
      <c r="I244" s="19">
        <v>5.0</v>
      </c>
      <c r="J244" s="5"/>
      <c r="K244" s="5"/>
      <c r="L244" s="5"/>
      <c r="M244" s="5"/>
    </row>
    <row r="245" ht="15.75" customHeight="1">
      <c r="A245" s="14">
        <v>46298.0</v>
      </c>
      <c r="B245" s="5" t="s">
        <v>4127</v>
      </c>
      <c r="C245" s="15">
        <v>0.5833333333333334</v>
      </c>
      <c r="D245" s="5" t="s">
        <v>816</v>
      </c>
      <c r="E245" s="16" t="str">
        <f t="array" ref="E245">_xlfn.XLOOKUP(F245, Filmes!$D$2:$D$344, Filmes!$A$2:$A$344, "")</f>
        <v>078</v>
      </c>
      <c r="F245" s="7" t="s">
        <v>1125</v>
      </c>
      <c r="G245" s="17" t="s">
        <v>4125</v>
      </c>
      <c r="H245" s="17" t="s">
        <v>4126</v>
      </c>
      <c r="I245" s="19">
        <v>2.0</v>
      </c>
      <c r="J245" s="5"/>
      <c r="K245" s="5"/>
      <c r="L245" s="5"/>
      <c r="M245" s="5"/>
    </row>
    <row r="246" ht="15.75" customHeight="1">
      <c r="A246" s="14">
        <v>46300.0</v>
      </c>
      <c r="B246" s="5" t="s">
        <v>4132</v>
      </c>
      <c r="C246" s="15">
        <v>0.6875</v>
      </c>
      <c r="D246" s="5" t="s">
        <v>816</v>
      </c>
      <c r="E246" s="16" t="str">
        <f t="array" ref="E246">_xlfn.XLOOKUP(F246, Filmes!$D$2:$D$344, Filmes!$A$2:$A$344, "")</f>
        <v>078</v>
      </c>
      <c r="F246" s="7" t="s">
        <v>1125</v>
      </c>
      <c r="G246" s="17" t="s">
        <v>4130</v>
      </c>
      <c r="H246" s="17" t="s">
        <v>4131</v>
      </c>
      <c r="I246" s="19">
        <v>4.0</v>
      </c>
      <c r="J246" s="5"/>
      <c r="K246" s="5"/>
      <c r="L246" s="5"/>
      <c r="M246" s="5"/>
    </row>
    <row r="247" ht="15.75" customHeight="1">
      <c r="A247" s="14">
        <v>46303.0</v>
      </c>
      <c r="B247" s="5" t="s">
        <v>4124</v>
      </c>
      <c r="C247" s="15">
        <v>0.875</v>
      </c>
      <c r="D247" s="5" t="s">
        <v>816</v>
      </c>
      <c r="E247" s="16" t="str">
        <f t="array" ref="E247">_xlfn.XLOOKUP(F247, Filmes!$D$2:$D$344, Filmes!$A$2:$A$344, "")</f>
        <v>079</v>
      </c>
      <c r="F247" s="7" t="s">
        <v>1138</v>
      </c>
      <c r="G247" s="17" t="s">
        <v>4139</v>
      </c>
      <c r="H247" s="17" t="s">
        <v>4140</v>
      </c>
      <c r="I247" s="19">
        <v>4.0</v>
      </c>
      <c r="J247" s="5"/>
      <c r="K247" s="5"/>
      <c r="L247" s="5" t="s">
        <v>65</v>
      </c>
      <c r="M247" s="5"/>
    </row>
    <row r="248" ht="15.75" customHeight="1">
      <c r="A248" s="14">
        <v>46305.0</v>
      </c>
      <c r="B248" s="5" t="s">
        <v>4127</v>
      </c>
      <c r="C248" s="15">
        <v>0.6875</v>
      </c>
      <c r="D248" s="5" t="s">
        <v>816</v>
      </c>
      <c r="E248" s="16" t="str">
        <f t="array" ref="E248">_xlfn.XLOOKUP(F248, Filmes!$D$2:$D$344, Filmes!$A$2:$A$344, "")</f>
        <v>079</v>
      </c>
      <c r="F248" s="7" t="s">
        <v>1138</v>
      </c>
      <c r="G248" s="17" t="s">
        <v>4130</v>
      </c>
      <c r="H248" s="17" t="s">
        <v>4131</v>
      </c>
      <c r="I248" s="19">
        <v>4.0</v>
      </c>
      <c r="J248" s="5"/>
      <c r="K248" s="5"/>
      <c r="L248" s="5"/>
      <c r="M248" s="5"/>
    </row>
    <row r="249" ht="15.75" customHeight="1">
      <c r="A249" s="14">
        <v>46307.0</v>
      </c>
      <c r="B249" s="5" t="s">
        <v>4132</v>
      </c>
      <c r="C249" s="15">
        <v>0.6145833333333334</v>
      </c>
      <c r="D249" s="5" t="s">
        <v>816</v>
      </c>
      <c r="E249" s="16" t="str">
        <f t="array" ref="E249">_xlfn.XLOOKUP(F249, Filmes!$D$2:$D$344, Filmes!$A$2:$A$344, "")</f>
        <v>079</v>
      </c>
      <c r="F249" s="7" t="s">
        <v>1138</v>
      </c>
      <c r="G249" s="17" t="s">
        <v>4128</v>
      </c>
      <c r="H249" s="17" t="s">
        <v>4129</v>
      </c>
      <c r="I249" s="19">
        <v>5.0</v>
      </c>
      <c r="J249" s="5"/>
      <c r="K249" s="5"/>
      <c r="L249" s="5"/>
      <c r="M249" s="5"/>
    </row>
    <row r="250" ht="15.75" customHeight="1">
      <c r="A250" s="14">
        <v>46296.0</v>
      </c>
      <c r="B250" s="5" t="s">
        <v>4124</v>
      </c>
      <c r="C250" s="15">
        <v>0.5833333333333334</v>
      </c>
      <c r="D250" s="5" t="s">
        <v>816</v>
      </c>
      <c r="E250" s="16" t="str">
        <f t="array" ref="E250">_xlfn.XLOOKUP(F250, Filmes!$D$2:$D$344, Filmes!$A$2:$A$344, "")</f>
        <v>080</v>
      </c>
      <c r="F250" s="7" t="s">
        <v>1151</v>
      </c>
      <c r="G250" s="17" t="s">
        <v>4133</v>
      </c>
      <c r="H250" s="17" t="s">
        <v>4134</v>
      </c>
      <c r="I250" s="19">
        <v>1.0</v>
      </c>
      <c r="J250" s="5"/>
      <c r="K250" s="5"/>
      <c r="L250" s="5"/>
      <c r="M250" s="5"/>
    </row>
    <row r="251" ht="15.75" customHeight="1">
      <c r="A251" s="14">
        <v>46298.0</v>
      </c>
      <c r="B251" s="5" t="s">
        <v>4127</v>
      </c>
      <c r="C251" s="15">
        <v>0.8958333333333334</v>
      </c>
      <c r="D251" s="5" t="s">
        <v>816</v>
      </c>
      <c r="E251" s="16" t="str">
        <f t="array" ref="E251">_xlfn.XLOOKUP(F251, Filmes!$D$2:$D$344, Filmes!$A$2:$A$344, "")</f>
        <v>080</v>
      </c>
      <c r="F251" s="7" t="s">
        <v>1151</v>
      </c>
      <c r="G251" s="17" t="s">
        <v>4130</v>
      </c>
      <c r="H251" s="17" t="s">
        <v>4131</v>
      </c>
      <c r="I251" s="19">
        <v>1.0</v>
      </c>
      <c r="J251" s="5"/>
      <c r="K251" s="5"/>
      <c r="L251" s="5"/>
      <c r="M251" s="5"/>
    </row>
    <row r="252" ht="15.75" customHeight="1">
      <c r="A252" s="14">
        <v>46300.0</v>
      </c>
      <c r="B252" s="5" t="s">
        <v>4132</v>
      </c>
      <c r="C252" s="15">
        <v>0.6770833333333334</v>
      </c>
      <c r="D252" s="5" t="s">
        <v>816</v>
      </c>
      <c r="E252" s="16" t="str">
        <f t="array" ref="E252">_xlfn.XLOOKUP(F252, Filmes!$D$2:$D$344, Filmes!$A$2:$A$344, "")</f>
        <v>080</v>
      </c>
      <c r="F252" s="7" t="s">
        <v>1151</v>
      </c>
      <c r="G252" s="17" t="s">
        <v>4128</v>
      </c>
      <c r="H252" s="17" t="s">
        <v>4129</v>
      </c>
      <c r="I252" s="19">
        <v>3.0</v>
      </c>
      <c r="J252" s="5"/>
      <c r="K252" s="5"/>
      <c r="L252" s="5"/>
      <c r="M252" s="5"/>
    </row>
    <row r="253" ht="15.75" customHeight="1">
      <c r="A253" s="14">
        <v>46306.0</v>
      </c>
      <c r="B253" s="5" t="s">
        <v>4136</v>
      </c>
      <c r="C253" s="15">
        <v>0.75</v>
      </c>
      <c r="D253" s="5" t="s">
        <v>816</v>
      </c>
      <c r="E253" s="16" t="str">
        <f t="array" ref="E253">_xlfn.XLOOKUP(F253, Filmes!$D$2:$D$344, Filmes!$A$2:$A$344, "")</f>
        <v>080</v>
      </c>
      <c r="F253" s="7" t="s">
        <v>1151</v>
      </c>
      <c r="G253" s="17" t="s">
        <v>4141</v>
      </c>
      <c r="H253" s="17" t="s">
        <v>4142</v>
      </c>
      <c r="I253" s="18"/>
      <c r="J253" s="5"/>
      <c r="K253" s="5"/>
      <c r="L253" s="5"/>
      <c r="M253" s="5"/>
    </row>
    <row r="254" ht="15.75" customHeight="1">
      <c r="A254" s="14">
        <v>46303.0</v>
      </c>
      <c r="B254" s="5" t="s">
        <v>4124</v>
      </c>
      <c r="C254" s="15">
        <v>0.7708333333333334</v>
      </c>
      <c r="D254" s="5" t="s">
        <v>816</v>
      </c>
      <c r="E254" s="16" t="str">
        <f t="array" ref="E254">_xlfn.XLOOKUP(F254, Filmes!$D$2:$D$344, Filmes!$A$2:$A$344, "")</f>
        <v>081</v>
      </c>
      <c r="F254" s="7" t="s">
        <v>1164</v>
      </c>
      <c r="G254" s="17" t="s">
        <v>4130</v>
      </c>
      <c r="H254" s="17" t="s">
        <v>4131</v>
      </c>
      <c r="I254" s="19">
        <v>2.0</v>
      </c>
      <c r="J254" s="5"/>
      <c r="K254" s="5"/>
      <c r="L254" s="5" t="s">
        <v>65</v>
      </c>
      <c r="M254" s="5"/>
    </row>
    <row r="255" ht="15.75" customHeight="1">
      <c r="A255" s="14">
        <v>46305.0</v>
      </c>
      <c r="B255" s="5" t="s">
        <v>4127</v>
      </c>
      <c r="C255" s="15">
        <v>0.8958333333333334</v>
      </c>
      <c r="D255" s="5" t="s">
        <v>816</v>
      </c>
      <c r="E255" s="16" t="str">
        <f t="array" ref="E255">_xlfn.XLOOKUP(F255, Filmes!$D$2:$D$344, Filmes!$A$2:$A$344, "")</f>
        <v>081</v>
      </c>
      <c r="F255" s="7" t="s">
        <v>1164</v>
      </c>
      <c r="G255" s="17" t="s">
        <v>4128</v>
      </c>
      <c r="H255" s="17" t="s">
        <v>4129</v>
      </c>
      <c r="I255" s="19">
        <v>1.0</v>
      </c>
      <c r="J255" s="5"/>
      <c r="K255" s="5"/>
      <c r="L255" s="5"/>
      <c r="M255" s="5"/>
    </row>
    <row r="256" ht="15.75" customHeight="1">
      <c r="A256" s="14">
        <v>46309.0</v>
      </c>
      <c r="B256" s="5" t="s">
        <v>4143</v>
      </c>
      <c r="C256" s="15">
        <v>0.5833333333333334</v>
      </c>
      <c r="D256" s="5" t="s">
        <v>816</v>
      </c>
      <c r="E256" s="16" t="str">
        <f t="array" ref="E256">_xlfn.XLOOKUP(F256, Filmes!$D$2:$D$344, Filmes!$A$2:$A$344, "")</f>
        <v>081</v>
      </c>
      <c r="F256" s="7" t="s">
        <v>1164</v>
      </c>
      <c r="G256" s="17" t="s">
        <v>4139</v>
      </c>
      <c r="H256" s="17" t="s">
        <v>4140</v>
      </c>
      <c r="I256" s="19">
        <v>4.0</v>
      </c>
      <c r="J256" s="5"/>
      <c r="K256" s="5"/>
      <c r="L256" s="5"/>
      <c r="M256" s="5"/>
    </row>
    <row r="257" ht="15.75" customHeight="1">
      <c r="A257" s="14">
        <v>46301.0</v>
      </c>
      <c r="B257" s="5" t="s">
        <v>4121</v>
      </c>
      <c r="C257" s="15">
        <v>0.7916666666666666</v>
      </c>
      <c r="D257" s="5" t="s">
        <v>816</v>
      </c>
      <c r="E257" s="16" t="str">
        <f t="array" ref="E257">_xlfn.XLOOKUP(F257, Filmes!$D$2:$D$344, Filmes!$A$2:$A$344, "")</f>
        <v>082</v>
      </c>
      <c r="F257" s="7" t="s">
        <v>1176</v>
      </c>
      <c r="G257" s="17" t="s">
        <v>4130</v>
      </c>
      <c r="H257" s="17" t="s">
        <v>4131</v>
      </c>
      <c r="I257" s="19">
        <v>1.0</v>
      </c>
      <c r="J257" s="5"/>
      <c r="K257" s="5"/>
      <c r="L257" s="5"/>
      <c r="M257" s="5"/>
    </row>
    <row r="258" ht="15.75" customHeight="1">
      <c r="A258" s="14">
        <v>46305.0</v>
      </c>
      <c r="B258" s="5" t="s">
        <v>4127</v>
      </c>
      <c r="C258" s="15">
        <v>0.5833333333333334</v>
      </c>
      <c r="D258" s="5" t="s">
        <v>816</v>
      </c>
      <c r="E258" s="16" t="str">
        <f t="array" ref="E258">_xlfn.XLOOKUP(F258, Filmes!$D$2:$D$344, Filmes!$A$2:$A$344, "")</f>
        <v>082</v>
      </c>
      <c r="F258" s="7" t="s">
        <v>1176</v>
      </c>
      <c r="G258" s="17" t="s">
        <v>4137</v>
      </c>
      <c r="H258" s="17" t="s">
        <v>4138</v>
      </c>
      <c r="I258" s="19">
        <v>1.0</v>
      </c>
      <c r="J258" s="5"/>
      <c r="K258" s="5"/>
      <c r="L258" s="5"/>
      <c r="M258" s="5"/>
    </row>
    <row r="259" ht="15.75" customHeight="1">
      <c r="A259" s="14">
        <v>46306.0</v>
      </c>
      <c r="B259" s="5" t="s">
        <v>4136</v>
      </c>
      <c r="C259" s="15">
        <v>0.8645833333333334</v>
      </c>
      <c r="D259" s="5" t="s">
        <v>816</v>
      </c>
      <c r="E259" s="16" t="str">
        <f t="array" ref="E259">_xlfn.XLOOKUP(F259, Filmes!$D$2:$D$344, Filmes!$A$2:$A$344, "")</f>
        <v>082</v>
      </c>
      <c r="F259" s="7" t="s">
        <v>1176</v>
      </c>
      <c r="G259" s="17" t="s">
        <v>4128</v>
      </c>
      <c r="H259" s="17" t="s">
        <v>4129</v>
      </c>
      <c r="I259" s="19">
        <v>3.0</v>
      </c>
      <c r="J259" s="5"/>
      <c r="K259" s="5"/>
      <c r="L259" s="5"/>
      <c r="M259" s="5"/>
    </row>
    <row r="260" ht="15.75" customHeight="1">
      <c r="A260" s="14">
        <v>46296.0</v>
      </c>
      <c r="B260" s="5" t="s">
        <v>4124</v>
      </c>
      <c r="C260" s="15">
        <v>0.6875</v>
      </c>
      <c r="D260" s="5" t="s">
        <v>816</v>
      </c>
      <c r="E260" s="16" t="str">
        <f t="array" ref="E260">_xlfn.XLOOKUP(F260, Filmes!$D$2:$D$344, Filmes!$A$2:$A$344, "")</f>
        <v>083</v>
      </c>
      <c r="F260" s="7" t="s">
        <v>1189</v>
      </c>
      <c r="G260" s="17" t="s">
        <v>4130</v>
      </c>
      <c r="H260" s="17" t="s">
        <v>4131</v>
      </c>
      <c r="I260" s="19">
        <v>4.0</v>
      </c>
      <c r="J260" s="5"/>
      <c r="K260" s="5"/>
      <c r="L260" s="5"/>
      <c r="M260" s="5"/>
    </row>
    <row r="261" ht="15.75" customHeight="1">
      <c r="A261" s="14">
        <v>46298.0</v>
      </c>
      <c r="B261" s="5" t="s">
        <v>4127</v>
      </c>
      <c r="C261" s="15">
        <v>0.8333333333333334</v>
      </c>
      <c r="D261" s="5" t="s">
        <v>816</v>
      </c>
      <c r="E261" s="16" t="str">
        <f t="array" ref="E261">_xlfn.XLOOKUP(F261, Filmes!$D$2:$D$344, Filmes!$A$2:$A$344, "")</f>
        <v>083</v>
      </c>
      <c r="F261" s="7" t="s">
        <v>1189</v>
      </c>
      <c r="G261" s="17" t="s">
        <v>4133</v>
      </c>
      <c r="H261" s="17" t="s">
        <v>4134</v>
      </c>
      <c r="I261" s="19">
        <v>2.0</v>
      </c>
      <c r="J261" s="5"/>
      <c r="K261" s="5"/>
      <c r="L261" s="5"/>
      <c r="M261" s="5"/>
    </row>
    <row r="262" ht="15.75" customHeight="1">
      <c r="A262" s="14">
        <v>46306.0</v>
      </c>
      <c r="B262" s="5" t="s">
        <v>4136</v>
      </c>
      <c r="C262" s="15">
        <v>0.6041666666666666</v>
      </c>
      <c r="D262" s="5" t="s">
        <v>816</v>
      </c>
      <c r="E262" s="16" t="str">
        <f t="array" ref="E262">_xlfn.XLOOKUP(F262, Filmes!$D$2:$D$344, Filmes!$A$2:$A$344, "")</f>
        <v>083</v>
      </c>
      <c r="F262" s="7" t="s">
        <v>1189</v>
      </c>
      <c r="G262" s="17" t="s">
        <v>4139</v>
      </c>
      <c r="H262" s="17" t="s">
        <v>4140</v>
      </c>
      <c r="I262" s="19">
        <v>5.0</v>
      </c>
      <c r="J262" s="5"/>
      <c r="K262" s="5"/>
      <c r="L262" s="5"/>
      <c r="M262" s="5"/>
    </row>
    <row r="263" ht="15.75" customHeight="1">
      <c r="A263" s="14">
        <v>46297.0</v>
      </c>
      <c r="B263" s="5" t="s">
        <v>4135</v>
      </c>
      <c r="C263" s="15">
        <v>0.75</v>
      </c>
      <c r="D263" s="5" t="s">
        <v>816</v>
      </c>
      <c r="E263" s="16" t="str">
        <f t="array" ref="E263">_xlfn.XLOOKUP(F263, Filmes!$D$2:$D$344, Filmes!$A$2:$A$344, "")</f>
        <v>084</v>
      </c>
      <c r="F263" s="7" t="s">
        <v>1205</v>
      </c>
      <c r="G263" s="17" t="s">
        <v>4133</v>
      </c>
      <c r="H263" s="17" t="s">
        <v>4134</v>
      </c>
      <c r="I263" s="19">
        <v>2.0</v>
      </c>
      <c r="J263" s="5"/>
      <c r="K263" s="5"/>
      <c r="L263" s="5"/>
      <c r="M263" s="5"/>
    </row>
    <row r="264" ht="15.75" customHeight="1">
      <c r="A264" s="14">
        <v>46299.0</v>
      </c>
      <c r="B264" s="5" t="s">
        <v>4136</v>
      </c>
      <c r="C264" s="15">
        <v>0.8958333333333334</v>
      </c>
      <c r="D264" s="5" t="s">
        <v>816</v>
      </c>
      <c r="E264" s="16" t="str">
        <f t="array" ref="E264">_xlfn.XLOOKUP(F264, Filmes!$D$2:$D$344, Filmes!$A$2:$A$344, "")</f>
        <v>084</v>
      </c>
      <c r="F264" s="7" t="s">
        <v>1205</v>
      </c>
      <c r="G264" s="17" t="s">
        <v>4128</v>
      </c>
      <c r="H264" s="17" t="s">
        <v>4129</v>
      </c>
      <c r="I264" s="19">
        <v>2.0</v>
      </c>
      <c r="J264" s="5"/>
      <c r="K264" s="5"/>
      <c r="L264" s="5"/>
      <c r="M264" s="5"/>
    </row>
    <row r="265" ht="15.75" customHeight="1">
      <c r="A265" s="14">
        <v>46305.0</v>
      </c>
      <c r="B265" s="5" t="s">
        <v>4127</v>
      </c>
      <c r="C265" s="15">
        <v>0.6770833333333334</v>
      </c>
      <c r="D265" s="5" t="s">
        <v>816</v>
      </c>
      <c r="E265" s="16" t="str">
        <f t="array" ref="E265">_xlfn.XLOOKUP(F265, Filmes!$D$2:$D$344, Filmes!$A$2:$A$344, "")</f>
        <v>084</v>
      </c>
      <c r="F265" s="7" t="s">
        <v>1205</v>
      </c>
      <c r="G265" s="17" t="s">
        <v>4130</v>
      </c>
      <c r="H265" s="17" t="s">
        <v>4131</v>
      </c>
      <c r="I265" s="19">
        <v>3.0</v>
      </c>
      <c r="J265" s="5"/>
      <c r="K265" s="5"/>
      <c r="L265" s="5"/>
      <c r="M265" s="5"/>
    </row>
    <row r="266" ht="15.75" customHeight="1">
      <c r="A266" s="14">
        <v>46298.0</v>
      </c>
      <c r="B266" s="5" t="s">
        <v>4127</v>
      </c>
      <c r="C266" s="15">
        <v>0.78125</v>
      </c>
      <c r="D266" s="5" t="s">
        <v>816</v>
      </c>
      <c r="E266" s="16" t="str">
        <f t="array" ref="E266">_xlfn.XLOOKUP(F266, Filmes!$D$2:$D$344, Filmes!$A$2:$A$344, "")</f>
        <v>085</v>
      </c>
      <c r="F266" s="7" t="s">
        <v>1216</v>
      </c>
      <c r="G266" s="17" t="s">
        <v>4139</v>
      </c>
      <c r="H266" s="17" t="s">
        <v>4140</v>
      </c>
      <c r="I266" s="19">
        <v>4.0</v>
      </c>
      <c r="J266" s="5"/>
      <c r="K266" s="5"/>
      <c r="L266" s="5"/>
      <c r="M266" s="5"/>
    </row>
    <row r="267" ht="15.75" customHeight="1">
      <c r="A267" s="14">
        <v>46301.0</v>
      </c>
      <c r="B267" s="5" t="s">
        <v>4121</v>
      </c>
      <c r="C267" s="15">
        <v>0.875</v>
      </c>
      <c r="D267" s="5" t="s">
        <v>816</v>
      </c>
      <c r="E267" s="16" t="str">
        <f t="array" ref="E267">_xlfn.XLOOKUP(F267, Filmes!$D$2:$D$344, Filmes!$A$2:$A$344, "")</f>
        <v>085</v>
      </c>
      <c r="F267" s="7" t="s">
        <v>1216</v>
      </c>
      <c r="G267" s="17" t="s">
        <v>4130</v>
      </c>
      <c r="H267" s="17" t="s">
        <v>4131</v>
      </c>
      <c r="I267" s="19">
        <v>2.0</v>
      </c>
      <c r="J267" s="5"/>
      <c r="K267" s="5"/>
      <c r="L267" s="5"/>
      <c r="M267" s="5"/>
    </row>
    <row r="268" ht="15.75" customHeight="1">
      <c r="A268" s="14">
        <v>46305.0</v>
      </c>
      <c r="B268" s="5" t="s">
        <v>4127</v>
      </c>
      <c r="C268" s="15">
        <v>0.65625</v>
      </c>
      <c r="D268" s="5" t="s">
        <v>816</v>
      </c>
      <c r="E268" s="16" t="str">
        <f t="array" ref="E268">_xlfn.XLOOKUP(F268, Filmes!$D$2:$D$344, Filmes!$A$2:$A$344, "")</f>
        <v>085</v>
      </c>
      <c r="F268" s="7" t="s">
        <v>1216</v>
      </c>
      <c r="G268" s="17" t="s">
        <v>4133</v>
      </c>
      <c r="H268" s="17" t="s">
        <v>4134</v>
      </c>
      <c r="I268" s="19">
        <v>2.0</v>
      </c>
      <c r="J268" s="5"/>
      <c r="K268" s="5"/>
      <c r="L268" s="5"/>
      <c r="M268" s="5"/>
    </row>
    <row r="269" ht="15.75" customHeight="1">
      <c r="A269" s="14">
        <v>46298.0</v>
      </c>
      <c r="B269" s="5" t="s">
        <v>4127</v>
      </c>
      <c r="C269" s="15">
        <v>0.6770833333333334</v>
      </c>
      <c r="D269" s="5" t="s">
        <v>816</v>
      </c>
      <c r="E269" s="16" t="str">
        <f t="array" ref="E269">_xlfn.XLOOKUP(F269, Filmes!$D$2:$D$344, Filmes!$A$2:$A$344, "")</f>
        <v>086</v>
      </c>
      <c r="F269" s="7" t="s">
        <v>1227</v>
      </c>
      <c r="G269" s="17" t="s">
        <v>4130</v>
      </c>
      <c r="H269" s="17" t="s">
        <v>4131</v>
      </c>
      <c r="I269" s="19">
        <v>3.0</v>
      </c>
      <c r="J269" s="5"/>
      <c r="K269" s="5"/>
      <c r="L269" s="5" t="s">
        <v>65</v>
      </c>
      <c r="M269" s="5"/>
    </row>
    <row r="270" ht="15.75" customHeight="1">
      <c r="A270" s="14">
        <v>46300.0</v>
      </c>
      <c r="B270" s="5" t="s">
        <v>4132</v>
      </c>
      <c r="C270" s="15">
        <v>0.5729166666666666</v>
      </c>
      <c r="D270" s="5" t="s">
        <v>816</v>
      </c>
      <c r="E270" s="16" t="str">
        <f t="array" ref="E270">_xlfn.XLOOKUP(F270, Filmes!$D$2:$D$344, Filmes!$A$2:$A$344, "")</f>
        <v>086</v>
      </c>
      <c r="F270" s="7" t="s">
        <v>1227</v>
      </c>
      <c r="G270" s="17" t="s">
        <v>4133</v>
      </c>
      <c r="H270" s="17" t="s">
        <v>4134</v>
      </c>
      <c r="I270" s="19">
        <v>2.0</v>
      </c>
      <c r="J270" s="5"/>
      <c r="K270" s="5"/>
      <c r="L270" s="5"/>
      <c r="M270" s="5"/>
    </row>
    <row r="271" ht="15.75" customHeight="1">
      <c r="A271" s="14">
        <v>46304.0</v>
      </c>
      <c r="B271" s="5" t="s">
        <v>4135</v>
      </c>
      <c r="C271" s="15">
        <v>0.78125</v>
      </c>
      <c r="D271" s="5" t="s">
        <v>816</v>
      </c>
      <c r="E271" s="16" t="str">
        <f t="array" ref="E271">_xlfn.XLOOKUP(F271, Filmes!$D$2:$D$344, Filmes!$A$2:$A$344, "")</f>
        <v>086</v>
      </c>
      <c r="F271" s="7" t="s">
        <v>1227</v>
      </c>
      <c r="G271" s="17" t="s">
        <v>4139</v>
      </c>
      <c r="H271" s="17" t="s">
        <v>4140</v>
      </c>
      <c r="I271" s="19">
        <v>4.0</v>
      </c>
      <c r="J271" s="5"/>
      <c r="K271" s="5"/>
      <c r="L271" s="5"/>
      <c r="M271" s="5"/>
    </row>
    <row r="272" ht="15.75" customHeight="1">
      <c r="A272" s="14">
        <v>46303.0</v>
      </c>
      <c r="B272" s="5" t="s">
        <v>4124</v>
      </c>
      <c r="C272" s="15">
        <v>0.7604166666666666</v>
      </c>
      <c r="D272" s="5" t="s">
        <v>816</v>
      </c>
      <c r="E272" s="16" t="str">
        <f t="array" ref="E272">_xlfn.XLOOKUP(F272, Filmes!$D$2:$D$344, Filmes!$A$2:$A$344, "")</f>
        <v>087</v>
      </c>
      <c r="F272" s="7" t="s">
        <v>1239</v>
      </c>
      <c r="G272" s="17" t="s">
        <v>4141</v>
      </c>
      <c r="H272" s="17" t="s">
        <v>4142</v>
      </c>
      <c r="I272" s="18"/>
      <c r="J272" s="5"/>
      <c r="K272" s="5"/>
      <c r="L272" s="5"/>
      <c r="M272" s="5"/>
    </row>
    <row r="273" ht="15.75" customHeight="1">
      <c r="A273" s="14">
        <v>46306.0</v>
      </c>
      <c r="B273" s="5" t="s">
        <v>4136</v>
      </c>
      <c r="C273" s="15">
        <v>0.8958333333333334</v>
      </c>
      <c r="D273" s="5" t="s">
        <v>816</v>
      </c>
      <c r="E273" s="16" t="str">
        <f t="array" ref="E273">_xlfn.XLOOKUP(F273, Filmes!$D$2:$D$344, Filmes!$A$2:$A$344, "")</f>
        <v>087</v>
      </c>
      <c r="F273" s="7" t="s">
        <v>1239</v>
      </c>
      <c r="G273" s="17" t="s">
        <v>4130</v>
      </c>
      <c r="H273" s="17" t="s">
        <v>4131</v>
      </c>
      <c r="I273" s="19">
        <v>1.0</v>
      </c>
      <c r="J273" s="5"/>
      <c r="K273" s="5"/>
      <c r="L273" s="5"/>
      <c r="M273" s="5"/>
    </row>
    <row r="274" ht="15.75" customHeight="1">
      <c r="A274" s="14">
        <v>46308.0</v>
      </c>
      <c r="B274" s="5" t="s">
        <v>4121</v>
      </c>
      <c r="C274" s="15">
        <v>0.6770833333333334</v>
      </c>
      <c r="D274" s="5" t="s">
        <v>816</v>
      </c>
      <c r="E274" s="16" t="str">
        <f t="array" ref="E274">_xlfn.XLOOKUP(F274, Filmes!$D$2:$D$344, Filmes!$A$2:$A$344, "")</f>
        <v>087</v>
      </c>
      <c r="F274" s="7" t="s">
        <v>1239</v>
      </c>
      <c r="G274" s="17" t="s">
        <v>4139</v>
      </c>
      <c r="H274" s="17" t="s">
        <v>4140</v>
      </c>
      <c r="I274" s="19">
        <v>3.0</v>
      </c>
      <c r="J274" s="5"/>
      <c r="K274" s="5"/>
      <c r="L274" s="5"/>
      <c r="M274" s="5"/>
    </row>
    <row r="275" ht="15.75" customHeight="1">
      <c r="A275" s="14">
        <v>46297.0</v>
      </c>
      <c r="B275" s="5" t="s">
        <v>4135</v>
      </c>
      <c r="C275" s="15">
        <v>0.875</v>
      </c>
      <c r="D275" s="5" t="s">
        <v>816</v>
      </c>
      <c r="E275" s="16" t="str">
        <f t="array" ref="E275">_xlfn.XLOOKUP(F275, Filmes!$D$2:$D$344, Filmes!$A$2:$A$344, "")</f>
        <v>088</v>
      </c>
      <c r="F275" s="7" t="s">
        <v>1251</v>
      </c>
      <c r="G275" s="17" t="s">
        <v>4139</v>
      </c>
      <c r="H275" s="17" t="s">
        <v>4140</v>
      </c>
      <c r="I275" s="19">
        <v>4.0</v>
      </c>
      <c r="J275" s="5"/>
      <c r="K275" s="5"/>
      <c r="L275" s="5"/>
      <c r="M275" s="5"/>
    </row>
    <row r="276" ht="15.75" customHeight="1">
      <c r="A276" s="14">
        <v>46303.0</v>
      </c>
      <c r="B276" s="5" t="s">
        <v>4124</v>
      </c>
      <c r="C276" s="15">
        <v>0.65625</v>
      </c>
      <c r="D276" s="5" t="s">
        <v>816</v>
      </c>
      <c r="E276" s="16" t="str">
        <f t="array" ref="E276">_xlfn.XLOOKUP(F276, Filmes!$D$2:$D$344, Filmes!$A$2:$A$344, "")</f>
        <v>088</v>
      </c>
      <c r="F276" s="7" t="s">
        <v>1251</v>
      </c>
      <c r="G276" s="17" t="s">
        <v>4133</v>
      </c>
      <c r="H276" s="17" t="s">
        <v>4134</v>
      </c>
      <c r="I276" s="19">
        <v>2.0</v>
      </c>
      <c r="J276" s="5"/>
      <c r="K276" s="5"/>
      <c r="L276" s="5"/>
      <c r="M276" s="5"/>
    </row>
    <row r="277" ht="15.75" customHeight="1">
      <c r="A277" s="14">
        <v>46306.0</v>
      </c>
      <c r="B277" s="5" t="s">
        <v>4136</v>
      </c>
      <c r="C277" s="15">
        <v>0.5729166666666666</v>
      </c>
      <c r="D277" s="5" t="s">
        <v>816</v>
      </c>
      <c r="E277" s="16" t="str">
        <f t="array" ref="E277">_xlfn.XLOOKUP(F277, Filmes!$D$2:$D$344, Filmes!$A$2:$A$344, "")</f>
        <v>088</v>
      </c>
      <c r="F277" s="7" t="s">
        <v>1251</v>
      </c>
      <c r="G277" s="17" t="s">
        <v>4130</v>
      </c>
      <c r="H277" s="17" t="s">
        <v>4131</v>
      </c>
      <c r="I277" s="19">
        <v>3.0</v>
      </c>
      <c r="J277" s="5"/>
      <c r="K277" s="5"/>
      <c r="L277" s="5"/>
      <c r="M277" s="5"/>
    </row>
    <row r="278" ht="15.75" customHeight="1">
      <c r="A278" s="14">
        <v>46299.0</v>
      </c>
      <c r="B278" s="5" t="s">
        <v>4136</v>
      </c>
      <c r="C278" s="15">
        <v>0.6875</v>
      </c>
      <c r="D278" s="5" t="s">
        <v>816</v>
      </c>
      <c r="E278" s="16" t="str">
        <f t="array" ref="E278">_xlfn.XLOOKUP(F278, Filmes!$D$2:$D$344, Filmes!$A$2:$A$344, "")</f>
        <v>089</v>
      </c>
      <c r="F278" s="7" t="s">
        <v>1265</v>
      </c>
      <c r="G278" s="17" t="s">
        <v>4139</v>
      </c>
      <c r="H278" s="17" t="s">
        <v>4140</v>
      </c>
      <c r="I278" s="19">
        <v>4.0</v>
      </c>
      <c r="J278" s="5"/>
      <c r="K278" s="5"/>
      <c r="L278" s="5"/>
      <c r="M278" s="5"/>
    </row>
    <row r="279" ht="15.75" customHeight="1">
      <c r="A279" s="14">
        <v>46301.0</v>
      </c>
      <c r="B279" s="5" t="s">
        <v>4121</v>
      </c>
      <c r="C279" s="15">
        <v>0.78125</v>
      </c>
      <c r="D279" s="5" t="s">
        <v>816</v>
      </c>
      <c r="E279" s="16" t="str">
        <f t="array" ref="E279">_xlfn.XLOOKUP(F279, Filmes!$D$2:$D$344, Filmes!$A$2:$A$344, "")</f>
        <v>089</v>
      </c>
      <c r="F279" s="7" t="s">
        <v>1265</v>
      </c>
      <c r="G279" s="17" t="s">
        <v>4133</v>
      </c>
      <c r="H279" s="17" t="s">
        <v>4134</v>
      </c>
      <c r="I279" s="19">
        <v>2.0</v>
      </c>
      <c r="J279" s="5"/>
      <c r="K279" s="5"/>
      <c r="L279" s="5"/>
      <c r="M279" s="5"/>
    </row>
    <row r="280" ht="15.75" customHeight="1">
      <c r="A280" s="14">
        <v>46306.0</v>
      </c>
      <c r="B280" s="5" t="s">
        <v>4136</v>
      </c>
      <c r="C280" s="15">
        <v>0.875</v>
      </c>
      <c r="D280" s="5" t="s">
        <v>816</v>
      </c>
      <c r="E280" s="16" t="str">
        <f t="array" ref="E280">_xlfn.XLOOKUP(F280, Filmes!$D$2:$D$344, Filmes!$A$2:$A$344, "")</f>
        <v>089</v>
      </c>
      <c r="F280" s="7" t="s">
        <v>1265</v>
      </c>
      <c r="G280" s="17" t="s">
        <v>4130</v>
      </c>
      <c r="H280" s="17" t="s">
        <v>4131</v>
      </c>
      <c r="I280" s="19">
        <v>2.0</v>
      </c>
      <c r="J280" s="5"/>
      <c r="K280" s="5"/>
      <c r="L280" s="5"/>
      <c r="M280" s="5"/>
    </row>
    <row r="281" ht="15.75" customHeight="1">
      <c r="A281" s="14">
        <v>46297.0</v>
      </c>
      <c r="B281" s="5" t="s">
        <v>4135</v>
      </c>
      <c r="C281" s="15">
        <v>0.6944444444444444</v>
      </c>
      <c r="D281" s="5" t="s">
        <v>816</v>
      </c>
      <c r="E281" s="16" t="str">
        <f t="array" ref="E281">_xlfn.XLOOKUP(F281, Filmes!$D$2:$D$344, Filmes!$A$2:$A$344, "")</f>
        <v>090</v>
      </c>
      <c r="F281" s="7" t="s">
        <v>1280</v>
      </c>
      <c r="G281" s="17" t="s">
        <v>4137</v>
      </c>
      <c r="H281" s="17" t="s">
        <v>4138</v>
      </c>
      <c r="I281" s="19">
        <v>1.0</v>
      </c>
      <c r="J281" s="5"/>
      <c r="K281" s="5"/>
      <c r="L281" s="5"/>
      <c r="M281" s="5"/>
    </row>
    <row r="282" ht="15.75" customHeight="1">
      <c r="A282" s="14">
        <v>46298.0</v>
      </c>
      <c r="B282" s="5" t="s">
        <v>4127</v>
      </c>
      <c r="C282" s="15">
        <v>0.6875</v>
      </c>
      <c r="D282" s="5" t="s">
        <v>816</v>
      </c>
      <c r="E282" s="16" t="str">
        <f t="array" ref="E282">_xlfn.XLOOKUP(F282, Filmes!$D$2:$D$344, Filmes!$A$2:$A$344, "")</f>
        <v>090</v>
      </c>
      <c r="F282" s="7" t="s">
        <v>1280</v>
      </c>
      <c r="G282" s="17" t="s">
        <v>4130</v>
      </c>
      <c r="H282" s="17" t="s">
        <v>4131</v>
      </c>
      <c r="I282" s="19">
        <v>1.0</v>
      </c>
      <c r="J282" s="5"/>
      <c r="K282" s="5"/>
      <c r="L282" s="5"/>
      <c r="M282" s="5"/>
    </row>
    <row r="283" ht="15.75" customHeight="1">
      <c r="A283" s="14">
        <v>46300.0</v>
      </c>
      <c r="B283" s="5" t="s">
        <v>4132</v>
      </c>
      <c r="C283" s="15">
        <v>0.5833333333333334</v>
      </c>
      <c r="D283" s="5" t="s">
        <v>816</v>
      </c>
      <c r="E283" s="16" t="str">
        <f t="array" ref="E283">_xlfn.XLOOKUP(F283, Filmes!$D$2:$D$344, Filmes!$A$2:$A$344, "")</f>
        <v>090</v>
      </c>
      <c r="F283" s="7" t="s">
        <v>1280</v>
      </c>
      <c r="G283" s="17" t="s">
        <v>4139</v>
      </c>
      <c r="H283" s="17" t="s">
        <v>4140</v>
      </c>
      <c r="I283" s="19">
        <v>3.0</v>
      </c>
      <c r="J283" s="5"/>
      <c r="K283" s="5"/>
      <c r="L283" s="5"/>
      <c r="M283" s="5"/>
    </row>
    <row r="284" ht="15.75" customHeight="1">
      <c r="A284" s="14">
        <v>46304.0</v>
      </c>
      <c r="B284" s="5" t="s">
        <v>4135</v>
      </c>
      <c r="C284" s="15">
        <v>0.8333333333333334</v>
      </c>
      <c r="D284" s="5" t="s">
        <v>816</v>
      </c>
      <c r="E284" s="16" t="str">
        <f t="array" ref="E284">_xlfn.XLOOKUP(F284, Filmes!$D$2:$D$344, Filmes!$A$2:$A$344, "")</f>
        <v>090</v>
      </c>
      <c r="F284" s="7" t="s">
        <v>1280</v>
      </c>
      <c r="G284" s="17" t="s">
        <v>4133</v>
      </c>
      <c r="H284" s="17" t="s">
        <v>4134</v>
      </c>
      <c r="I284" s="19">
        <v>1.0</v>
      </c>
      <c r="J284" s="5"/>
      <c r="K284" s="5"/>
      <c r="L284" s="5"/>
      <c r="M284" s="5"/>
    </row>
    <row r="285" ht="15.75" customHeight="1">
      <c r="A285" s="14">
        <v>46306.0</v>
      </c>
      <c r="B285" s="5" t="s">
        <v>4136</v>
      </c>
      <c r="C285" s="15">
        <v>0.78125</v>
      </c>
      <c r="D285" s="5" t="s">
        <v>816</v>
      </c>
      <c r="E285" s="16" t="str">
        <f t="array" ref="E285">_xlfn.XLOOKUP(F285, Filmes!$D$2:$D$344, Filmes!$A$2:$A$344, "")</f>
        <v>090</v>
      </c>
      <c r="F285" s="7" t="s">
        <v>1280</v>
      </c>
      <c r="G285" s="17" t="s">
        <v>4128</v>
      </c>
      <c r="H285" s="17" t="s">
        <v>4129</v>
      </c>
      <c r="I285" s="19">
        <v>1.0</v>
      </c>
      <c r="J285" s="5"/>
      <c r="K285" s="5"/>
      <c r="L285" s="5"/>
      <c r="M285" s="5"/>
    </row>
    <row r="286" ht="15.75" customHeight="1">
      <c r="A286" s="14">
        <v>46300.0</v>
      </c>
      <c r="B286" s="5" t="s">
        <v>4132</v>
      </c>
      <c r="C286" s="15">
        <v>0.875</v>
      </c>
      <c r="D286" s="5" t="s">
        <v>816</v>
      </c>
      <c r="E286" s="16" t="str">
        <f t="array" ref="E286">_xlfn.XLOOKUP(F286, Filmes!$D$2:$D$344, Filmes!$A$2:$A$344, "")</f>
        <v>091</v>
      </c>
      <c r="F286" s="7" t="s">
        <v>1295</v>
      </c>
      <c r="G286" s="17" t="s">
        <v>4130</v>
      </c>
      <c r="H286" s="17" t="s">
        <v>4131</v>
      </c>
      <c r="I286" s="19">
        <v>2.0</v>
      </c>
      <c r="J286" s="5"/>
      <c r="K286" s="5"/>
      <c r="L286" s="5"/>
      <c r="M286" s="5"/>
    </row>
    <row r="287" ht="15.75" customHeight="1">
      <c r="A287" s="14">
        <v>46302.0</v>
      </c>
      <c r="B287" s="5" t="s">
        <v>4143</v>
      </c>
      <c r="C287" s="15">
        <v>0.75</v>
      </c>
      <c r="D287" s="5" t="s">
        <v>816</v>
      </c>
      <c r="E287" s="16" t="str">
        <f t="array" ref="E287">_xlfn.XLOOKUP(F287, Filmes!$D$2:$D$344, Filmes!$A$2:$A$344, "")</f>
        <v>091</v>
      </c>
      <c r="F287" s="7" t="s">
        <v>1295</v>
      </c>
      <c r="G287" s="17" t="s">
        <v>4133</v>
      </c>
      <c r="H287" s="17" t="s">
        <v>4134</v>
      </c>
      <c r="I287" s="19">
        <v>2.0</v>
      </c>
      <c r="J287" s="5"/>
      <c r="K287" s="5"/>
      <c r="L287" s="5"/>
      <c r="M287" s="5"/>
    </row>
    <row r="288" ht="15.75" customHeight="1">
      <c r="A288" s="14">
        <v>46308.0</v>
      </c>
      <c r="B288" s="5" t="s">
        <v>4121</v>
      </c>
      <c r="C288" s="15">
        <v>0.6666666666666666</v>
      </c>
      <c r="D288" s="5" t="s">
        <v>816</v>
      </c>
      <c r="E288" s="16" t="str">
        <f t="array" ref="E288">_xlfn.XLOOKUP(F288, Filmes!$D$2:$D$344, Filmes!$A$2:$A$344, "")</f>
        <v>091</v>
      </c>
      <c r="F288" s="7" t="s">
        <v>1295</v>
      </c>
      <c r="G288" s="17" t="s">
        <v>4139</v>
      </c>
      <c r="H288" s="17" t="s">
        <v>4140</v>
      </c>
      <c r="I288" s="19">
        <v>4.0</v>
      </c>
      <c r="J288" s="5"/>
      <c r="K288" s="5"/>
      <c r="L288" s="5"/>
      <c r="M288" s="5"/>
    </row>
    <row r="289" ht="15.75" customHeight="1">
      <c r="A289" s="14">
        <v>46296.0</v>
      </c>
      <c r="B289" s="5" t="s">
        <v>4124</v>
      </c>
      <c r="C289" s="15">
        <v>0.7916666666666666</v>
      </c>
      <c r="D289" s="5" t="s">
        <v>816</v>
      </c>
      <c r="E289" s="16" t="str">
        <f t="array" ref="E289">_xlfn.XLOOKUP(F289, Filmes!$D$2:$D$344, Filmes!$A$2:$A$344, "")</f>
        <v>092</v>
      </c>
      <c r="F289" s="7" t="s">
        <v>1309</v>
      </c>
      <c r="G289" s="17" t="s">
        <v>4130</v>
      </c>
      <c r="H289" s="17" t="s">
        <v>4131</v>
      </c>
      <c r="I289" s="19">
        <v>1.0</v>
      </c>
      <c r="J289" s="5"/>
      <c r="K289" s="5"/>
      <c r="L289" s="5"/>
      <c r="M289" s="5"/>
    </row>
    <row r="290" ht="15.75" customHeight="1">
      <c r="A290" s="14">
        <v>46298.0</v>
      </c>
      <c r="B290" s="5" t="s">
        <v>4127</v>
      </c>
      <c r="C290" s="15">
        <v>0.6944444444444444</v>
      </c>
      <c r="D290" s="5" t="s">
        <v>816</v>
      </c>
      <c r="E290" s="16" t="str">
        <f t="array" ref="E290">_xlfn.XLOOKUP(F290, Filmes!$D$2:$D$344, Filmes!$A$2:$A$344, "")</f>
        <v>092</v>
      </c>
      <c r="F290" s="7" t="s">
        <v>1309</v>
      </c>
      <c r="G290" s="17" t="s">
        <v>4137</v>
      </c>
      <c r="H290" s="17" t="s">
        <v>4138</v>
      </c>
      <c r="I290" s="19">
        <v>1.0</v>
      </c>
      <c r="J290" s="5"/>
      <c r="K290" s="5"/>
      <c r="L290" s="5"/>
      <c r="M290" s="5"/>
    </row>
    <row r="291" ht="15.75" customHeight="1">
      <c r="A291" s="14">
        <v>46300.0</v>
      </c>
      <c r="B291" s="5" t="s">
        <v>4132</v>
      </c>
      <c r="C291" s="15">
        <v>0.8645833333333334</v>
      </c>
      <c r="D291" s="5" t="s">
        <v>816</v>
      </c>
      <c r="E291" s="16" t="str">
        <f t="array" ref="E291">_xlfn.XLOOKUP(F291, Filmes!$D$2:$D$344, Filmes!$A$2:$A$344, "")</f>
        <v>092</v>
      </c>
      <c r="F291" s="7" t="s">
        <v>1309</v>
      </c>
      <c r="G291" s="17" t="s">
        <v>4139</v>
      </c>
      <c r="H291" s="17" t="s">
        <v>4140</v>
      </c>
      <c r="I291" s="19">
        <v>3.0</v>
      </c>
      <c r="J291" s="5"/>
      <c r="K291" s="5"/>
      <c r="L291" s="5"/>
      <c r="M291" s="5"/>
    </row>
    <row r="292" ht="15.75" customHeight="1">
      <c r="A292" s="14">
        <v>46302.0</v>
      </c>
      <c r="B292" s="5" t="s">
        <v>4143</v>
      </c>
      <c r="C292" s="15">
        <v>0.6875</v>
      </c>
      <c r="D292" s="5" t="s">
        <v>816</v>
      </c>
      <c r="E292" s="16" t="str">
        <f t="array" ref="E292">_xlfn.XLOOKUP(F292, Filmes!$D$2:$D$344, Filmes!$A$2:$A$344, "")</f>
        <v>092</v>
      </c>
      <c r="F292" s="7" t="s">
        <v>1309</v>
      </c>
      <c r="G292" s="17" t="s">
        <v>4125</v>
      </c>
      <c r="H292" s="17" t="s">
        <v>4126</v>
      </c>
      <c r="I292" s="19">
        <v>2.0</v>
      </c>
      <c r="J292" s="5"/>
      <c r="K292" s="5"/>
      <c r="L292" s="5"/>
      <c r="M292" s="5"/>
    </row>
    <row r="293" ht="15.75" customHeight="1">
      <c r="A293" s="14">
        <v>46305.0</v>
      </c>
      <c r="B293" s="5" t="s">
        <v>4127</v>
      </c>
      <c r="C293" s="15">
        <v>0.7604166666666666</v>
      </c>
      <c r="D293" s="5" t="s">
        <v>816</v>
      </c>
      <c r="E293" s="16" t="str">
        <f t="array" ref="E293">_xlfn.XLOOKUP(F293, Filmes!$D$2:$D$344, Filmes!$A$2:$A$344, "")</f>
        <v>092</v>
      </c>
      <c r="F293" s="7" t="s">
        <v>1309</v>
      </c>
      <c r="G293" s="17" t="s">
        <v>4128</v>
      </c>
      <c r="H293" s="17" t="s">
        <v>4129</v>
      </c>
      <c r="I293" s="19">
        <v>3.0</v>
      </c>
      <c r="J293" s="5"/>
      <c r="K293" s="5"/>
      <c r="L293" s="5"/>
      <c r="M293" s="5"/>
    </row>
    <row r="294" ht="15.75" customHeight="1">
      <c r="A294" s="14">
        <v>46298.0</v>
      </c>
      <c r="B294" s="5" t="s">
        <v>4127</v>
      </c>
      <c r="C294" s="15">
        <v>0.875</v>
      </c>
      <c r="D294" s="5" t="s">
        <v>816</v>
      </c>
      <c r="E294" s="16" t="str">
        <f t="array" ref="E294">_xlfn.XLOOKUP(F294, Filmes!$D$2:$D$344, Filmes!$A$2:$A$344, "")</f>
        <v>093</v>
      </c>
      <c r="F294" s="7" t="s">
        <v>1323</v>
      </c>
      <c r="G294" s="17" t="s">
        <v>4130</v>
      </c>
      <c r="H294" s="17" t="s">
        <v>4131</v>
      </c>
      <c r="I294" s="19">
        <v>2.0</v>
      </c>
      <c r="J294" s="5"/>
      <c r="K294" s="5"/>
      <c r="L294" s="5"/>
      <c r="M294" s="5"/>
    </row>
    <row r="295" ht="15.75" customHeight="1">
      <c r="A295" s="14">
        <v>46301.0</v>
      </c>
      <c r="B295" s="5" t="s">
        <v>4121</v>
      </c>
      <c r="C295" s="15">
        <v>0.8125</v>
      </c>
      <c r="D295" s="5" t="s">
        <v>816</v>
      </c>
      <c r="E295" s="16" t="str">
        <f t="array" ref="E295">_xlfn.XLOOKUP(F295, Filmes!$D$2:$D$344, Filmes!$A$2:$A$344, "")</f>
        <v>093</v>
      </c>
      <c r="F295" s="7" t="s">
        <v>1323</v>
      </c>
      <c r="G295" s="17" t="s">
        <v>4125</v>
      </c>
      <c r="H295" s="17" t="s">
        <v>4126</v>
      </c>
      <c r="I295" s="19">
        <v>2.0</v>
      </c>
      <c r="J295" s="5"/>
      <c r="K295" s="5"/>
      <c r="L295" s="5"/>
      <c r="M295" s="5"/>
    </row>
    <row r="296" ht="15.75" customHeight="1">
      <c r="A296" s="14">
        <v>46303.0</v>
      </c>
      <c r="B296" s="5" t="s">
        <v>4124</v>
      </c>
      <c r="C296" s="15">
        <v>0.6944444444444444</v>
      </c>
      <c r="D296" s="5" t="s">
        <v>816</v>
      </c>
      <c r="E296" s="16" t="str">
        <f t="array" ref="E296">_xlfn.XLOOKUP(F296, Filmes!$D$2:$D$344, Filmes!$A$2:$A$344, "")</f>
        <v>093</v>
      </c>
      <c r="F296" s="7" t="s">
        <v>1323</v>
      </c>
      <c r="G296" s="17" t="s">
        <v>4137</v>
      </c>
      <c r="H296" s="17" t="s">
        <v>4138</v>
      </c>
      <c r="I296" s="19">
        <v>1.0</v>
      </c>
      <c r="J296" s="5"/>
      <c r="K296" s="5"/>
      <c r="L296" s="5"/>
      <c r="M296" s="5"/>
    </row>
    <row r="297" ht="15.75" customHeight="1">
      <c r="A297" s="14">
        <v>46298.0</v>
      </c>
      <c r="B297" s="5" t="s">
        <v>4127</v>
      </c>
      <c r="C297" s="15">
        <v>0.7916666666666666</v>
      </c>
      <c r="D297" s="5" t="s">
        <v>816</v>
      </c>
      <c r="E297" s="16" t="str">
        <f t="array" ref="E297">_xlfn.XLOOKUP(F297, Filmes!$D$2:$D$344, Filmes!$A$2:$A$344, "")</f>
        <v>094</v>
      </c>
      <c r="F297" s="7" t="s">
        <v>1338</v>
      </c>
      <c r="G297" s="17" t="s">
        <v>4130</v>
      </c>
      <c r="H297" s="17" t="s">
        <v>4131</v>
      </c>
      <c r="I297" s="19">
        <v>6.0</v>
      </c>
      <c r="J297" s="5"/>
      <c r="K297" s="5"/>
      <c r="L297" s="5" t="s">
        <v>65</v>
      </c>
      <c r="M297" s="5"/>
    </row>
    <row r="298" ht="15.75" customHeight="1">
      <c r="A298" s="14">
        <v>46301.0</v>
      </c>
      <c r="B298" s="5" t="s">
        <v>4121</v>
      </c>
      <c r="C298" s="15">
        <v>0.5729166666666666</v>
      </c>
      <c r="D298" s="5" t="s">
        <v>816</v>
      </c>
      <c r="E298" s="16" t="str">
        <f t="array" ref="E298">_xlfn.XLOOKUP(F298, Filmes!$D$2:$D$344, Filmes!$A$2:$A$344, "")</f>
        <v>094</v>
      </c>
      <c r="F298" s="7" t="s">
        <v>1338</v>
      </c>
      <c r="G298" s="17" t="s">
        <v>4133</v>
      </c>
      <c r="H298" s="17" t="s">
        <v>4134</v>
      </c>
      <c r="I298" s="19">
        <v>1.0</v>
      </c>
      <c r="J298" s="5"/>
      <c r="K298" s="5"/>
      <c r="L298" s="5"/>
      <c r="M298" s="5"/>
    </row>
    <row r="299" ht="15.75" customHeight="1">
      <c r="A299" s="14">
        <v>46305.0</v>
      </c>
      <c r="B299" s="5" t="s">
        <v>4127</v>
      </c>
      <c r="C299" s="15">
        <v>0.65625</v>
      </c>
      <c r="D299" s="5" t="s">
        <v>816</v>
      </c>
      <c r="E299" s="16" t="str">
        <f t="array" ref="E299">_xlfn.XLOOKUP(F299, Filmes!$D$2:$D$344, Filmes!$A$2:$A$344, "")</f>
        <v>094</v>
      </c>
      <c r="F299" s="7" t="s">
        <v>1338</v>
      </c>
      <c r="G299" s="17" t="s">
        <v>4141</v>
      </c>
      <c r="H299" s="17" t="s">
        <v>4142</v>
      </c>
      <c r="I299" s="18"/>
      <c r="J299" s="5"/>
      <c r="K299" s="5"/>
      <c r="L299" s="5"/>
      <c r="M299" s="5"/>
    </row>
    <row r="300" ht="15.75" customHeight="1">
      <c r="A300" s="14">
        <v>46298.0</v>
      </c>
      <c r="B300" s="5" t="s">
        <v>4127</v>
      </c>
      <c r="C300" s="15">
        <v>0.8645833333333334</v>
      </c>
      <c r="D300" s="5" t="s">
        <v>816</v>
      </c>
      <c r="E300" s="16" t="str">
        <f t="array" ref="E300">_xlfn.XLOOKUP(F300, Filmes!$D$2:$D$344, Filmes!$A$2:$A$344, "")</f>
        <v>095</v>
      </c>
      <c r="F300" s="7" t="s">
        <v>1351</v>
      </c>
      <c r="G300" s="17" t="s">
        <v>4139</v>
      </c>
      <c r="H300" s="17" t="s">
        <v>4140</v>
      </c>
      <c r="I300" s="19">
        <v>3.0</v>
      </c>
      <c r="J300" s="5" t="s">
        <v>4144</v>
      </c>
      <c r="K300" s="5"/>
      <c r="L300" s="5"/>
      <c r="M300" s="5"/>
    </row>
    <row r="301" ht="15.75" customHeight="1">
      <c r="A301" s="14">
        <v>46302.0</v>
      </c>
      <c r="B301" s="5" t="s">
        <v>4143</v>
      </c>
      <c r="C301" s="15">
        <v>0.6666666666666666</v>
      </c>
      <c r="D301" s="5" t="s">
        <v>816</v>
      </c>
      <c r="E301" s="16" t="str">
        <f t="array" ref="E301">_xlfn.XLOOKUP(F301, Filmes!$D$2:$D$344, Filmes!$A$2:$A$344, "")</f>
        <v>095</v>
      </c>
      <c r="F301" s="7" t="s">
        <v>1351</v>
      </c>
      <c r="G301" s="17" t="s">
        <v>4133</v>
      </c>
      <c r="H301" s="17" t="s">
        <v>4134</v>
      </c>
      <c r="I301" s="19">
        <v>1.0</v>
      </c>
      <c r="J301" s="5"/>
      <c r="K301" s="5"/>
      <c r="L301" s="5"/>
      <c r="M301" s="5"/>
    </row>
    <row r="302" ht="15.75" customHeight="1">
      <c r="A302" s="14">
        <v>46304.0</v>
      </c>
      <c r="B302" s="5" t="s">
        <v>4135</v>
      </c>
      <c r="C302" s="15">
        <v>0.7916666666666666</v>
      </c>
      <c r="D302" s="5" t="s">
        <v>816</v>
      </c>
      <c r="E302" s="16" t="str">
        <f t="array" ref="E302">_xlfn.XLOOKUP(F302, Filmes!$D$2:$D$344, Filmes!$A$2:$A$344, "")</f>
        <v>095</v>
      </c>
      <c r="F302" s="7" t="s">
        <v>1351</v>
      </c>
      <c r="G302" s="17" t="s">
        <v>4130</v>
      </c>
      <c r="H302" s="17" t="s">
        <v>4131</v>
      </c>
      <c r="I302" s="19">
        <v>1.0</v>
      </c>
      <c r="J302" s="5"/>
      <c r="K302" s="5"/>
      <c r="L302" s="5"/>
      <c r="M302" s="5"/>
    </row>
    <row r="303" ht="15.75" customHeight="1">
      <c r="A303" s="14">
        <v>46297.0</v>
      </c>
      <c r="B303" s="5" t="s">
        <v>4135</v>
      </c>
      <c r="C303" s="15">
        <v>0.8854166666666666</v>
      </c>
      <c r="D303" s="5" t="s">
        <v>816</v>
      </c>
      <c r="E303" s="16" t="str">
        <f t="array" ref="E303">_xlfn.XLOOKUP(F303, Filmes!$D$2:$D$344, Filmes!$A$2:$A$344, "")</f>
        <v>096</v>
      </c>
      <c r="F303" s="7" t="s">
        <v>1365</v>
      </c>
      <c r="G303" s="17" t="s">
        <v>4130</v>
      </c>
      <c r="H303" s="17" t="s">
        <v>4131</v>
      </c>
      <c r="I303" s="19">
        <v>3.0</v>
      </c>
      <c r="J303" s="5"/>
      <c r="K303" s="5"/>
      <c r="L303" s="5"/>
      <c r="M303" s="5"/>
    </row>
    <row r="304" ht="15.75" customHeight="1">
      <c r="A304" s="14">
        <v>46300.0</v>
      </c>
      <c r="B304" s="5" t="s">
        <v>4132</v>
      </c>
      <c r="C304" s="15">
        <v>0.6944444444444444</v>
      </c>
      <c r="D304" s="5" t="s">
        <v>816</v>
      </c>
      <c r="E304" s="16" t="str">
        <f t="array" ref="E304">_xlfn.XLOOKUP(F304, Filmes!$D$2:$D$344, Filmes!$A$2:$A$344, "")</f>
        <v>096</v>
      </c>
      <c r="F304" s="7" t="s">
        <v>1365</v>
      </c>
      <c r="G304" s="17" t="s">
        <v>4137</v>
      </c>
      <c r="H304" s="17" t="s">
        <v>4138</v>
      </c>
      <c r="I304" s="19">
        <v>1.0</v>
      </c>
      <c r="J304" s="5"/>
      <c r="K304" s="5"/>
      <c r="L304" s="5"/>
      <c r="M304" s="5"/>
    </row>
    <row r="305" ht="15.75" customHeight="1">
      <c r="A305" s="14">
        <v>46306.0</v>
      </c>
      <c r="B305" s="5" t="s">
        <v>4136</v>
      </c>
      <c r="C305" s="15">
        <v>0.5833333333333334</v>
      </c>
      <c r="D305" s="5" t="s">
        <v>816</v>
      </c>
      <c r="E305" s="16" t="str">
        <f t="array" ref="E305">_xlfn.XLOOKUP(F305, Filmes!$D$2:$D$344, Filmes!$A$2:$A$344, "")</f>
        <v>096</v>
      </c>
      <c r="F305" s="7" t="s">
        <v>1365</v>
      </c>
      <c r="G305" s="17" t="s">
        <v>4125</v>
      </c>
      <c r="H305" s="17" t="s">
        <v>4126</v>
      </c>
      <c r="I305" s="19">
        <v>2.0</v>
      </c>
      <c r="J305" s="5"/>
      <c r="K305" s="5"/>
      <c r="L305" s="5"/>
      <c r="M305" s="5"/>
    </row>
    <row r="306" ht="15.75" customHeight="1">
      <c r="A306" s="14">
        <v>46297.0</v>
      </c>
      <c r="B306" s="5" t="s">
        <v>4135</v>
      </c>
      <c r="C306" s="15">
        <v>0.7916666666666666</v>
      </c>
      <c r="D306" s="5" t="s">
        <v>816</v>
      </c>
      <c r="E306" s="16" t="str">
        <f t="array" ref="E306">_xlfn.XLOOKUP(F306, Filmes!$D$2:$D$344, Filmes!$A$2:$A$344, "")</f>
        <v>097</v>
      </c>
      <c r="F306" s="7" t="s">
        <v>1376</v>
      </c>
      <c r="G306" s="17" t="s">
        <v>4137</v>
      </c>
      <c r="H306" s="17" t="s">
        <v>4138</v>
      </c>
      <c r="I306" s="19">
        <v>1.0</v>
      </c>
      <c r="J306" s="5"/>
      <c r="K306" s="5"/>
      <c r="L306" s="5"/>
      <c r="M306" s="5"/>
    </row>
    <row r="307" ht="15.75" customHeight="1">
      <c r="A307" s="14">
        <v>46301.0</v>
      </c>
      <c r="B307" s="5" t="s">
        <v>4121</v>
      </c>
      <c r="C307" s="15">
        <v>0.6875</v>
      </c>
      <c r="D307" s="5" t="s">
        <v>816</v>
      </c>
      <c r="E307" s="16" t="str">
        <f t="array" ref="E307">_xlfn.XLOOKUP(F307, Filmes!$D$2:$D$344, Filmes!$A$2:$A$344, "")</f>
        <v>097</v>
      </c>
      <c r="F307" s="7" t="s">
        <v>1376</v>
      </c>
      <c r="G307" s="17" t="s">
        <v>4133</v>
      </c>
      <c r="H307" s="17" t="s">
        <v>4134</v>
      </c>
      <c r="I307" s="19">
        <v>2.0</v>
      </c>
      <c r="J307" s="5"/>
      <c r="K307" s="5"/>
      <c r="L307" s="5"/>
      <c r="M307" s="5"/>
    </row>
    <row r="308" ht="15.75" customHeight="1">
      <c r="A308" s="14">
        <v>46306.0</v>
      </c>
      <c r="B308" s="5" t="s">
        <v>4136</v>
      </c>
      <c r="C308" s="15">
        <v>0.8854166666666666</v>
      </c>
      <c r="D308" s="5" t="s">
        <v>816</v>
      </c>
      <c r="E308" s="16" t="str">
        <f t="array" ref="E308">_xlfn.XLOOKUP(F308, Filmes!$D$2:$D$344, Filmes!$A$2:$A$344, "")</f>
        <v>097</v>
      </c>
      <c r="F308" s="7" t="s">
        <v>1376</v>
      </c>
      <c r="G308" s="17" t="s">
        <v>4130</v>
      </c>
      <c r="H308" s="17" t="s">
        <v>4131</v>
      </c>
      <c r="I308" s="19">
        <v>3.0</v>
      </c>
      <c r="J308" s="5"/>
      <c r="K308" s="5"/>
      <c r="L308" s="5"/>
      <c r="M308" s="5"/>
    </row>
    <row r="309" ht="15.75" customHeight="1">
      <c r="A309" s="14">
        <v>46296.0</v>
      </c>
      <c r="B309" s="5" t="s">
        <v>4124</v>
      </c>
      <c r="C309" s="15">
        <v>0.8020833333333334</v>
      </c>
      <c r="D309" s="5" t="s">
        <v>816</v>
      </c>
      <c r="E309" s="16" t="str">
        <f t="array" ref="E309">_xlfn.XLOOKUP(F309, Filmes!$D$2:$D$344, Filmes!$A$2:$A$344, "")</f>
        <v>098</v>
      </c>
      <c r="F309" s="7" t="s">
        <v>1389</v>
      </c>
      <c r="G309" s="17" t="s">
        <v>4128</v>
      </c>
      <c r="H309" s="17" t="s">
        <v>4129</v>
      </c>
      <c r="I309" s="19">
        <v>4.0</v>
      </c>
      <c r="J309" s="5"/>
      <c r="K309" s="5"/>
      <c r="L309" s="5"/>
      <c r="M309" s="5"/>
    </row>
    <row r="310" ht="15.75" customHeight="1">
      <c r="A310" s="14">
        <v>46298.0</v>
      </c>
      <c r="B310" s="5" t="s">
        <v>4127</v>
      </c>
      <c r="C310" s="15">
        <v>0.59375</v>
      </c>
      <c r="D310" s="5" t="s">
        <v>816</v>
      </c>
      <c r="E310" s="16" t="str">
        <f t="array" ref="E310">_xlfn.XLOOKUP(F310, Filmes!$D$2:$D$344, Filmes!$A$2:$A$344, "")</f>
        <v>098</v>
      </c>
      <c r="F310" s="7" t="s">
        <v>1389</v>
      </c>
      <c r="G310" s="17" t="s">
        <v>4139</v>
      </c>
      <c r="H310" s="17" t="s">
        <v>4140</v>
      </c>
      <c r="I310" s="19">
        <v>4.0</v>
      </c>
      <c r="J310" s="5"/>
      <c r="K310" s="5"/>
      <c r="L310" s="5"/>
      <c r="M310" s="5"/>
    </row>
    <row r="311" ht="15.75" customHeight="1">
      <c r="A311" s="14">
        <v>46303.0</v>
      </c>
      <c r="B311" s="5" t="s">
        <v>4124</v>
      </c>
      <c r="C311" s="15">
        <v>0.6666666666666666</v>
      </c>
      <c r="D311" s="5" t="s">
        <v>816</v>
      </c>
      <c r="E311" s="16" t="str">
        <f t="array" ref="E311">_xlfn.XLOOKUP(F311, Filmes!$D$2:$D$344, Filmes!$A$2:$A$344, "")</f>
        <v>098</v>
      </c>
      <c r="F311" s="7" t="s">
        <v>1389</v>
      </c>
      <c r="G311" s="17" t="s">
        <v>4130</v>
      </c>
      <c r="H311" s="17" t="s">
        <v>4131</v>
      </c>
      <c r="I311" s="19">
        <v>2.0</v>
      </c>
      <c r="J311" s="5"/>
      <c r="K311" s="5"/>
      <c r="L311" s="5"/>
      <c r="M311" s="5"/>
    </row>
    <row r="312" ht="15.75" customHeight="1">
      <c r="A312" s="14">
        <v>46296.0</v>
      </c>
      <c r="B312" s="5" t="s">
        <v>4124</v>
      </c>
      <c r="C312" s="15">
        <v>0.6736111111111112</v>
      </c>
      <c r="D312" s="5" t="s">
        <v>816</v>
      </c>
      <c r="E312" s="16" t="str">
        <f t="array" ref="E312">_xlfn.XLOOKUP(F312, Filmes!$D$2:$D$344, Filmes!$A$2:$A$344, "")</f>
        <v>099</v>
      </c>
      <c r="F312" s="7" t="s">
        <v>1402</v>
      </c>
      <c r="G312" s="17" t="s">
        <v>4125</v>
      </c>
      <c r="H312" s="17" t="s">
        <v>4126</v>
      </c>
      <c r="I312" s="19">
        <v>2.0</v>
      </c>
      <c r="J312" s="5"/>
      <c r="K312" s="5"/>
      <c r="L312" s="5"/>
      <c r="M312" s="5"/>
    </row>
    <row r="313" ht="15.75" customHeight="1">
      <c r="A313" s="14">
        <v>46299.0</v>
      </c>
      <c r="B313" s="5" t="s">
        <v>4136</v>
      </c>
      <c r="C313" s="15">
        <v>0.90625</v>
      </c>
      <c r="D313" s="5" t="s">
        <v>816</v>
      </c>
      <c r="E313" s="16" t="str">
        <f t="array" ref="E313">_xlfn.XLOOKUP(F313, Filmes!$D$2:$D$344, Filmes!$A$2:$A$344, "")</f>
        <v>099</v>
      </c>
      <c r="F313" s="7" t="s">
        <v>1402</v>
      </c>
      <c r="G313" s="17" t="s">
        <v>4130</v>
      </c>
      <c r="H313" s="17" t="s">
        <v>4131</v>
      </c>
      <c r="I313" s="19">
        <v>6.0</v>
      </c>
      <c r="J313" s="5"/>
      <c r="K313" s="5"/>
      <c r="L313" s="5"/>
      <c r="M313" s="5"/>
    </row>
    <row r="314" ht="15.75" customHeight="1">
      <c r="A314" s="14">
        <v>46308.0</v>
      </c>
      <c r="B314" s="5" t="s">
        <v>4121</v>
      </c>
      <c r="C314" s="15">
        <v>0.7916666666666666</v>
      </c>
      <c r="D314" s="5" t="s">
        <v>816</v>
      </c>
      <c r="E314" s="16" t="str">
        <f t="array" ref="E314">_xlfn.XLOOKUP(F314, Filmes!$D$2:$D$344, Filmes!$A$2:$A$344, "")</f>
        <v>099</v>
      </c>
      <c r="F314" s="7" t="s">
        <v>1402</v>
      </c>
      <c r="G314" s="17" t="s">
        <v>4139</v>
      </c>
      <c r="H314" s="17" t="s">
        <v>4140</v>
      </c>
      <c r="I314" s="19">
        <v>5.0</v>
      </c>
      <c r="J314" s="5"/>
      <c r="K314" s="5"/>
      <c r="L314" s="5"/>
      <c r="M314" s="5"/>
    </row>
    <row r="315" ht="15.75" customHeight="1">
      <c r="A315" s="14">
        <v>46297.0</v>
      </c>
      <c r="B315" s="5" t="s">
        <v>4135</v>
      </c>
      <c r="C315" s="15">
        <v>0.8958333333333334</v>
      </c>
      <c r="D315" s="5" t="s">
        <v>816</v>
      </c>
      <c r="E315" s="16" t="str">
        <f t="array" ref="E315">_xlfn.XLOOKUP(F315, Filmes!$D$2:$D$344, Filmes!$A$2:$A$344, "")</f>
        <v>100</v>
      </c>
      <c r="F315" s="7" t="s">
        <v>1416</v>
      </c>
      <c r="G315" s="17" t="s">
        <v>4128</v>
      </c>
      <c r="H315" s="17" t="s">
        <v>4129</v>
      </c>
      <c r="I315" s="19">
        <v>2.0</v>
      </c>
      <c r="J315" s="5"/>
      <c r="K315" s="5"/>
      <c r="L315" s="5"/>
      <c r="M315" s="5"/>
    </row>
    <row r="316" ht="15.75" customHeight="1">
      <c r="A316" s="14">
        <v>46299.0</v>
      </c>
      <c r="B316" s="5" t="s">
        <v>4136</v>
      </c>
      <c r="C316" s="15">
        <v>0.5729166666666666</v>
      </c>
      <c r="D316" s="5" t="s">
        <v>816</v>
      </c>
      <c r="E316" s="16" t="str">
        <f t="array" ref="E316">_xlfn.XLOOKUP(F316, Filmes!$D$2:$D$344, Filmes!$A$2:$A$344, "")</f>
        <v>100</v>
      </c>
      <c r="F316" s="7" t="s">
        <v>1416</v>
      </c>
      <c r="G316" s="17" t="s">
        <v>4133</v>
      </c>
      <c r="H316" s="17" t="s">
        <v>4134</v>
      </c>
      <c r="I316" s="19">
        <v>2.0</v>
      </c>
      <c r="J316" s="5"/>
      <c r="K316" s="5"/>
      <c r="L316" s="5"/>
      <c r="M316" s="5"/>
    </row>
    <row r="317" ht="15.75" customHeight="1">
      <c r="A317" s="14">
        <v>46303.0</v>
      </c>
      <c r="B317" s="5" t="s">
        <v>4124</v>
      </c>
      <c r="C317" s="15">
        <v>0.6770833333333334</v>
      </c>
      <c r="D317" s="5" t="s">
        <v>816</v>
      </c>
      <c r="E317" s="16" t="str">
        <f t="array" ref="E317">_xlfn.XLOOKUP(F317, Filmes!$D$2:$D$344, Filmes!$A$2:$A$344, "")</f>
        <v>100</v>
      </c>
      <c r="F317" s="7" t="s">
        <v>1416</v>
      </c>
      <c r="G317" s="17" t="s">
        <v>4130</v>
      </c>
      <c r="H317" s="17" t="s">
        <v>4131</v>
      </c>
      <c r="I317" s="19">
        <v>3.0</v>
      </c>
      <c r="J317" s="5"/>
      <c r="K317" s="5"/>
      <c r="L317" s="5"/>
      <c r="M317" s="5"/>
    </row>
    <row r="318" ht="15.75" customHeight="1">
      <c r="A318" s="14">
        <v>46300.0</v>
      </c>
      <c r="B318" s="5" t="s">
        <v>4132</v>
      </c>
      <c r="C318" s="15">
        <v>0.78125</v>
      </c>
      <c r="D318" s="5" t="s">
        <v>816</v>
      </c>
      <c r="E318" s="16" t="str">
        <f t="array" ref="E318">_xlfn.XLOOKUP(F318, Filmes!$D$2:$D$344, Filmes!$A$2:$A$344, "")</f>
        <v>101</v>
      </c>
      <c r="F318" s="7" t="s">
        <v>1427</v>
      </c>
      <c r="G318" s="17" t="s">
        <v>4130</v>
      </c>
      <c r="H318" s="17" t="s">
        <v>4131</v>
      </c>
      <c r="I318" s="19">
        <v>4.0</v>
      </c>
      <c r="J318" s="5"/>
      <c r="K318" s="5"/>
      <c r="L318" s="5" t="s">
        <v>65</v>
      </c>
      <c r="M318" s="5"/>
    </row>
    <row r="319" ht="15.75" customHeight="1">
      <c r="A319" s="14">
        <v>46302.0</v>
      </c>
      <c r="B319" s="5" t="s">
        <v>4143</v>
      </c>
      <c r="C319" s="15">
        <v>0.65625</v>
      </c>
      <c r="D319" s="5" t="s">
        <v>816</v>
      </c>
      <c r="E319" s="16" t="str">
        <f t="array" ref="E319">_xlfn.XLOOKUP(F319, Filmes!$D$2:$D$344, Filmes!$A$2:$A$344, "")</f>
        <v>101</v>
      </c>
      <c r="F319" s="7" t="s">
        <v>1427</v>
      </c>
      <c r="G319" s="17" t="s">
        <v>4133</v>
      </c>
      <c r="H319" s="17" t="s">
        <v>4134</v>
      </c>
      <c r="I319" s="19">
        <v>2.0</v>
      </c>
      <c r="J319" s="5"/>
      <c r="K319" s="5"/>
      <c r="L319" s="5"/>
      <c r="M319" s="5"/>
    </row>
    <row r="320" ht="15.75" customHeight="1">
      <c r="A320" s="14">
        <v>46306.0</v>
      </c>
      <c r="B320" s="5" t="s">
        <v>4136</v>
      </c>
      <c r="C320" s="15">
        <v>0.8854166666666666</v>
      </c>
      <c r="D320" s="5" t="s">
        <v>816</v>
      </c>
      <c r="E320" s="16" t="str">
        <f t="array" ref="E320">_xlfn.XLOOKUP(F320, Filmes!$D$2:$D$344, Filmes!$A$2:$A$344, "")</f>
        <v>101</v>
      </c>
      <c r="F320" s="7" t="s">
        <v>1427</v>
      </c>
      <c r="G320" s="17" t="s">
        <v>4139</v>
      </c>
      <c r="H320" s="17" t="s">
        <v>4140</v>
      </c>
      <c r="I320" s="19">
        <v>5.0</v>
      </c>
      <c r="J320" s="5"/>
      <c r="K320" s="5"/>
      <c r="L320" s="5"/>
      <c r="M320" s="5"/>
    </row>
    <row r="321" ht="15.75" customHeight="1">
      <c r="A321" s="14">
        <v>46303.0</v>
      </c>
      <c r="B321" s="5" t="s">
        <v>4124</v>
      </c>
      <c r="C321" s="15">
        <v>0.875</v>
      </c>
      <c r="D321" s="5" t="s">
        <v>816</v>
      </c>
      <c r="E321" s="16" t="str">
        <f t="array" ref="E321">_xlfn.XLOOKUP(F321, Filmes!$D$2:$D$344, Filmes!$A$2:$A$344, "")</f>
        <v>102</v>
      </c>
      <c r="F321" s="7" t="s">
        <v>1439</v>
      </c>
      <c r="G321" s="17" t="s">
        <v>4130</v>
      </c>
      <c r="H321" s="17" t="s">
        <v>4131</v>
      </c>
      <c r="I321" s="19">
        <v>3.0</v>
      </c>
      <c r="J321" s="5"/>
      <c r="K321" s="5"/>
      <c r="L321" s="5" t="s">
        <v>65</v>
      </c>
      <c r="M321" s="5"/>
    </row>
    <row r="322" ht="15.75" customHeight="1">
      <c r="A322" s="14">
        <v>46304.0</v>
      </c>
      <c r="B322" s="5" t="s">
        <v>4135</v>
      </c>
      <c r="C322" s="15">
        <v>0.6944444444444444</v>
      </c>
      <c r="D322" s="5" t="s">
        <v>816</v>
      </c>
      <c r="E322" s="16" t="str">
        <f t="array" ref="E322">_xlfn.XLOOKUP(F322, Filmes!$D$2:$D$344, Filmes!$A$2:$A$344, "")</f>
        <v>102</v>
      </c>
      <c r="F322" s="7" t="s">
        <v>1439</v>
      </c>
      <c r="G322" s="17" t="s">
        <v>4137</v>
      </c>
      <c r="H322" s="17" t="s">
        <v>4138</v>
      </c>
      <c r="I322" s="19">
        <v>1.0</v>
      </c>
      <c r="J322" s="5"/>
      <c r="K322" s="5"/>
      <c r="L322" s="5"/>
      <c r="M322" s="5"/>
    </row>
    <row r="323" ht="15.75" customHeight="1">
      <c r="A323" s="14">
        <v>46306.0</v>
      </c>
      <c r="B323" s="5" t="s">
        <v>4136</v>
      </c>
      <c r="C323" s="15">
        <v>0.78125</v>
      </c>
      <c r="D323" s="5" t="s">
        <v>816</v>
      </c>
      <c r="E323" s="16" t="str">
        <f t="array" ref="E323">_xlfn.XLOOKUP(F323, Filmes!$D$2:$D$344, Filmes!$A$2:$A$344, "")</f>
        <v>102</v>
      </c>
      <c r="F323" s="7" t="s">
        <v>1439</v>
      </c>
      <c r="G323" s="17" t="s">
        <v>4128</v>
      </c>
      <c r="H323" s="17" t="s">
        <v>4129</v>
      </c>
      <c r="I323" s="19">
        <v>2.0</v>
      </c>
      <c r="J323" s="5"/>
      <c r="K323" s="5"/>
      <c r="L323" s="5"/>
      <c r="M323" s="5"/>
    </row>
    <row r="324" ht="15.75" customHeight="1">
      <c r="A324" s="14">
        <v>46303.0</v>
      </c>
      <c r="B324" s="5" t="s">
        <v>4124</v>
      </c>
      <c r="C324" s="15">
        <v>0.8854166666666666</v>
      </c>
      <c r="D324" s="5" t="s">
        <v>816</v>
      </c>
      <c r="E324" s="16" t="str">
        <f t="array" ref="E324">_xlfn.XLOOKUP(F324, Filmes!$D$2:$D$344, Filmes!$A$2:$A$344, "")</f>
        <v>103</v>
      </c>
      <c r="F324" s="7" t="s">
        <v>1451</v>
      </c>
      <c r="G324" s="17" t="s">
        <v>4139</v>
      </c>
      <c r="H324" s="17" t="s">
        <v>4140</v>
      </c>
      <c r="I324" s="19">
        <v>5.0</v>
      </c>
      <c r="J324" s="5"/>
      <c r="K324" s="5"/>
      <c r="L324" s="5" t="s">
        <v>65</v>
      </c>
      <c r="M324" s="5"/>
    </row>
    <row r="325" ht="15.75" customHeight="1">
      <c r="A325" s="14">
        <v>46305.0</v>
      </c>
      <c r="B325" s="5" t="s">
        <v>4127</v>
      </c>
      <c r="C325" s="15">
        <v>0.6875</v>
      </c>
      <c r="D325" s="5" t="s">
        <v>816</v>
      </c>
      <c r="E325" s="16" t="str">
        <f t="array" ref="E325">_xlfn.XLOOKUP(F325, Filmes!$D$2:$D$344, Filmes!$A$2:$A$344, "")</f>
        <v>103</v>
      </c>
      <c r="F325" s="7" t="s">
        <v>1451</v>
      </c>
      <c r="G325" s="17" t="s">
        <v>4130</v>
      </c>
      <c r="H325" s="17" t="s">
        <v>4131</v>
      </c>
      <c r="I325" s="19">
        <v>1.0</v>
      </c>
      <c r="J325" s="5"/>
      <c r="K325" s="5"/>
      <c r="L325" s="5"/>
      <c r="M325" s="5"/>
    </row>
    <row r="326" ht="15.75" customHeight="1">
      <c r="A326" s="14">
        <v>46307.0</v>
      </c>
      <c r="B326" s="5" t="s">
        <v>4132</v>
      </c>
      <c r="C326" s="15">
        <v>0.8020833333333334</v>
      </c>
      <c r="D326" s="5" t="s">
        <v>816</v>
      </c>
      <c r="E326" s="16" t="str">
        <f t="array" ref="E326">_xlfn.XLOOKUP(F326, Filmes!$D$2:$D$344, Filmes!$A$2:$A$344, "")</f>
        <v>103</v>
      </c>
      <c r="F326" s="7" t="s">
        <v>1451</v>
      </c>
      <c r="G326" s="17" t="s">
        <v>4128</v>
      </c>
      <c r="H326" s="17" t="s">
        <v>4129</v>
      </c>
      <c r="I326" s="19">
        <v>5.0</v>
      </c>
      <c r="J326" s="5"/>
      <c r="K326" s="5"/>
      <c r="L326" s="5"/>
      <c r="M326" s="5"/>
    </row>
    <row r="327" ht="15.75" customHeight="1">
      <c r="A327" s="14">
        <v>46298.0</v>
      </c>
      <c r="B327" s="5" t="s">
        <v>4127</v>
      </c>
      <c r="C327" s="15">
        <v>0.90625</v>
      </c>
      <c r="D327" s="5" t="s">
        <v>816</v>
      </c>
      <c r="E327" s="16" t="str">
        <f t="array" ref="E327">_xlfn.XLOOKUP(F327, Filmes!$D$2:$D$344, Filmes!$A$2:$A$344, "")</f>
        <v>104</v>
      </c>
      <c r="F327" s="7" t="s">
        <v>1461</v>
      </c>
      <c r="G327" s="17" t="s">
        <v>4130</v>
      </c>
      <c r="H327" s="17" t="s">
        <v>4131</v>
      </c>
      <c r="I327" s="19">
        <v>4.0</v>
      </c>
      <c r="J327" s="5"/>
      <c r="K327" s="5"/>
      <c r="L327" s="5" t="s">
        <v>65</v>
      </c>
      <c r="M327" s="5"/>
    </row>
    <row r="328" ht="15.75" customHeight="1">
      <c r="A328" s="14">
        <v>46300.0</v>
      </c>
      <c r="B328" s="5" t="s">
        <v>4132</v>
      </c>
      <c r="C328" s="15">
        <v>0.6875</v>
      </c>
      <c r="D328" s="5" t="s">
        <v>816</v>
      </c>
      <c r="E328" s="16" t="str">
        <f t="array" ref="E328">_xlfn.XLOOKUP(F328, Filmes!$D$2:$D$344, Filmes!$A$2:$A$344, "")</f>
        <v>104</v>
      </c>
      <c r="F328" s="7" t="s">
        <v>1461</v>
      </c>
      <c r="G328" s="17" t="s">
        <v>4128</v>
      </c>
      <c r="H328" s="17" t="s">
        <v>4129</v>
      </c>
      <c r="I328" s="19">
        <v>1.0</v>
      </c>
      <c r="J328" s="5"/>
      <c r="K328" s="5"/>
      <c r="L328" s="5"/>
      <c r="M328" s="5"/>
    </row>
    <row r="329" ht="15.75" customHeight="1">
      <c r="A329" s="14">
        <v>46306.0</v>
      </c>
      <c r="B329" s="5" t="s">
        <v>4136</v>
      </c>
      <c r="C329" s="15">
        <v>0.7604166666666666</v>
      </c>
      <c r="D329" s="5" t="s">
        <v>816</v>
      </c>
      <c r="E329" s="16" t="str">
        <f t="array" ref="E329">_xlfn.XLOOKUP(F329, Filmes!$D$2:$D$344, Filmes!$A$2:$A$344, "")</f>
        <v>104</v>
      </c>
      <c r="F329" s="7" t="s">
        <v>1461</v>
      </c>
      <c r="G329" s="17" t="s">
        <v>4133</v>
      </c>
      <c r="H329" s="17" t="s">
        <v>4134</v>
      </c>
      <c r="I329" s="19">
        <v>2.0</v>
      </c>
      <c r="J329" s="5"/>
      <c r="K329" s="5"/>
      <c r="L329" s="5"/>
      <c r="M329" s="5"/>
    </row>
    <row r="330" ht="15.75" customHeight="1">
      <c r="A330" s="14">
        <v>46298.0</v>
      </c>
      <c r="B330" s="5" t="s">
        <v>4127</v>
      </c>
      <c r="C330" s="15">
        <v>0.75</v>
      </c>
      <c r="D330" s="5" t="s">
        <v>816</v>
      </c>
      <c r="E330" s="16" t="str">
        <f t="array" ref="E330">_xlfn.XLOOKUP(F330, Filmes!$D$2:$D$344, Filmes!$A$2:$A$344, "")</f>
        <v>105</v>
      </c>
      <c r="F330" s="7" t="s">
        <v>1469</v>
      </c>
      <c r="G330" s="17" t="s">
        <v>4133</v>
      </c>
      <c r="H330" s="17" t="s">
        <v>4134</v>
      </c>
      <c r="I330" s="19">
        <v>1.0</v>
      </c>
      <c r="J330" s="5"/>
      <c r="K330" s="5"/>
      <c r="L330" s="5"/>
      <c r="M330" s="5"/>
    </row>
    <row r="331" ht="15.75" customHeight="1">
      <c r="A331" s="14">
        <v>46300.0</v>
      </c>
      <c r="B331" s="5" t="s">
        <v>4132</v>
      </c>
      <c r="C331" s="15">
        <v>0.8541666666666666</v>
      </c>
      <c r="D331" s="5" t="s">
        <v>816</v>
      </c>
      <c r="E331" s="16" t="str">
        <f t="array" ref="E331">_xlfn.XLOOKUP(F331, Filmes!$D$2:$D$344, Filmes!$A$2:$A$344, "")</f>
        <v>105</v>
      </c>
      <c r="F331" s="7" t="s">
        <v>1469</v>
      </c>
      <c r="G331" s="17" t="s">
        <v>4141</v>
      </c>
      <c r="H331" s="17" t="s">
        <v>4142</v>
      </c>
      <c r="I331" s="18"/>
      <c r="J331" s="5"/>
      <c r="K331" s="5"/>
      <c r="L331" s="5"/>
      <c r="M331" s="5"/>
    </row>
    <row r="332" ht="15.75" customHeight="1">
      <c r="A332" s="14">
        <v>46303.0</v>
      </c>
      <c r="B332" s="5" t="s">
        <v>4124</v>
      </c>
      <c r="C332" s="15">
        <v>0.5833333333333334</v>
      </c>
      <c r="D332" s="5" t="s">
        <v>816</v>
      </c>
      <c r="E332" s="16" t="str">
        <f t="array" ref="E332">_xlfn.XLOOKUP(F332, Filmes!$D$2:$D$344, Filmes!$A$2:$A$344, "")</f>
        <v>105</v>
      </c>
      <c r="F332" s="7" t="s">
        <v>1469</v>
      </c>
      <c r="G332" s="17" t="s">
        <v>4137</v>
      </c>
      <c r="H332" s="17" t="s">
        <v>4138</v>
      </c>
      <c r="I332" s="19">
        <v>1.0</v>
      </c>
      <c r="J332" s="5"/>
      <c r="K332" s="5"/>
      <c r="L332" s="5"/>
      <c r="M332" s="5"/>
    </row>
    <row r="333" ht="15.75" customHeight="1">
      <c r="A333" s="14">
        <v>46306.0</v>
      </c>
      <c r="B333" s="5" t="s">
        <v>4136</v>
      </c>
      <c r="C333" s="15">
        <v>0.5833333333333334</v>
      </c>
      <c r="D333" s="5" t="s">
        <v>816</v>
      </c>
      <c r="E333" s="16" t="str">
        <f t="array" ref="E333">_xlfn.XLOOKUP(F333, Filmes!$D$2:$D$344, Filmes!$A$2:$A$344, "")</f>
        <v>105</v>
      </c>
      <c r="F333" s="7" t="s">
        <v>1469</v>
      </c>
      <c r="G333" s="17" t="s">
        <v>4130</v>
      </c>
      <c r="H333" s="17" t="s">
        <v>4131</v>
      </c>
      <c r="I333" s="19">
        <v>1.0</v>
      </c>
      <c r="J333" s="5"/>
      <c r="K333" s="5"/>
      <c r="L333" s="5"/>
      <c r="M333" s="5"/>
    </row>
    <row r="334" ht="15.75" customHeight="1">
      <c r="A334" s="14">
        <v>46309.0</v>
      </c>
      <c r="B334" s="5" t="s">
        <v>4143</v>
      </c>
      <c r="C334" s="15">
        <v>0.6979166666666666</v>
      </c>
      <c r="D334" s="5" t="s">
        <v>816</v>
      </c>
      <c r="E334" s="16" t="str">
        <f t="array" ref="E334">_xlfn.XLOOKUP(F334, Filmes!$D$2:$D$344, Filmes!$A$2:$A$344, "")</f>
        <v>105</v>
      </c>
      <c r="F334" s="7" t="s">
        <v>1469</v>
      </c>
      <c r="G334" s="17" t="s">
        <v>4139</v>
      </c>
      <c r="H334" s="17" t="s">
        <v>4140</v>
      </c>
      <c r="I334" s="19">
        <v>5.0</v>
      </c>
      <c r="J334" s="5"/>
      <c r="K334" s="5"/>
      <c r="L334" s="5"/>
      <c r="M334" s="5"/>
    </row>
    <row r="335" ht="15.75" customHeight="1">
      <c r="A335" s="14">
        <v>46304.0</v>
      </c>
      <c r="B335" s="5" t="s">
        <v>4135</v>
      </c>
      <c r="C335" s="15">
        <v>0.8958333333333334</v>
      </c>
      <c r="D335" s="5" t="s">
        <v>816</v>
      </c>
      <c r="E335" s="16" t="str">
        <f t="array" ref="E335">_xlfn.XLOOKUP(F335, Filmes!$D$2:$D$344, Filmes!$A$2:$A$344, "")</f>
        <v>106</v>
      </c>
      <c r="F335" s="7" t="s">
        <v>1483</v>
      </c>
      <c r="G335" s="17" t="s">
        <v>4130</v>
      </c>
      <c r="H335" s="17" t="s">
        <v>4131</v>
      </c>
      <c r="I335" s="19">
        <v>4.0</v>
      </c>
      <c r="J335" s="5"/>
      <c r="K335" s="5"/>
      <c r="L335" s="5" t="s">
        <v>65</v>
      </c>
      <c r="M335" s="5"/>
    </row>
    <row r="336" ht="15.75" customHeight="1">
      <c r="A336" s="14">
        <v>46306.0</v>
      </c>
      <c r="B336" s="5" t="s">
        <v>4136</v>
      </c>
      <c r="C336" s="15">
        <v>0.6666666666666666</v>
      </c>
      <c r="D336" s="5" t="s">
        <v>816</v>
      </c>
      <c r="E336" s="16" t="str">
        <f t="array" ref="E336">_xlfn.XLOOKUP(F336, Filmes!$D$2:$D$344, Filmes!$A$2:$A$344, "")</f>
        <v>106</v>
      </c>
      <c r="F336" s="7" t="s">
        <v>1483</v>
      </c>
      <c r="G336" s="17" t="s">
        <v>4133</v>
      </c>
      <c r="H336" s="17" t="s">
        <v>4134</v>
      </c>
      <c r="I336" s="19">
        <v>1.0</v>
      </c>
      <c r="J336" s="5"/>
      <c r="K336" s="5"/>
      <c r="L336" s="5"/>
      <c r="M336" s="5"/>
    </row>
    <row r="337" ht="15.75" customHeight="1">
      <c r="A337" s="14">
        <v>46309.0</v>
      </c>
      <c r="B337" s="5" t="s">
        <v>4143</v>
      </c>
      <c r="C337" s="15">
        <v>0.5833333333333334</v>
      </c>
      <c r="D337" s="5" t="s">
        <v>816</v>
      </c>
      <c r="E337" s="16" t="str">
        <f t="array" ref="E337">_xlfn.XLOOKUP(F337, Filmes!$D$2:$D$344, Filmes!$A$2:$A$344, "")</f>
        <v>106</v>
      </c>
      <c r="F337" s="7" t="s">
        <v>1483</v>
      </c>
      <c r="G337" s="17" t="s">
        <v>4139</v>
      </c>
      <c r="H337" s="17" t="s">
        <v>4140</v>
      </c>
      <c r="I337" s="19">
        <v>3.0</v>
      </c>
      <c r="J337" s="5"/>
      <c r="K337" s="5"/>
      <c r="L337" s="5"/>
      <c r="M337" s="5"/>
    </row>
    <row r="338" ht="15.75" customHeight="1">
      <c r="A338" s="14">
        <v>46298.0</v>
      </c>
      <c r="B338" s="5" t="s">
        <v>4127</v>
      </c>
      <c r="C338" s="15">
        <v>0.6875</v>
      </c>
      <c r="D338" s="5" t="s">
        <v>816</v>
      </c>
      <c r="E338" s="16" t="str">
        <f t="array" ref="E338">_xlfn.XLOOKUP(F338, Filmes!$D$2:$D$344, Filmes!$A$2:$A$344, "")</f>
        <v>107</v>
      </c>
      <c r="F338" s="7" t="s">
        <v>1494</v>
      </c>
      <c r="G338" s="17" t="s">
        <v>4139</v>
      </c>
      <c r="H338" s="17" t="s">
        <v>4140</v>
      </c>
      <c r="I338" s="19">
        <v>4.0</v>
      </c>
      <c r="J338" s="5"/>
      <c r="K338" s="5"/>
      <c r="L338" s="5"/>
      <c r="M338" s="5"/>
    </row>
    <row r="339" ht="15.75" customHeight="1">
      <c r="A339" s="14">
        <v>46300.0</v>
      </c>
      <c r="B339" s="5" t="s">
        <v>4132</v>
      </c>
      <c r="C339" s="15">
        <v>0.8229166666666666</v>
      </c>
      <c r="D339" s="5" t="s">
        <v>816</v>
      </c>
      <c r="E339" s="16" t="str">
        <f t="array" ref="E339">_xlfn.XLOOKUP(F339, Filmes!$D$2:$D$344, Filmes!$A$2:$A$344, "")</f>
        <v>107</v>
      </c>
      <c r="F339" s="7" t="s">
        <v>1494</v>
      </c>
      <c r="G339" s="17" t="s">
        <v>4133</v>
      </c>
      <c r="H339" s="17" t="s">
        <v>4134</v>
      </c>
      <c r="I339" s="19">
        <v>2.0</v>
      </c>
      <c r="J339" s="5"/>
      <c r="K339" s="5"/>
      <c r="L339" s="5"/>
      <c r="M339" s="5"/>
    </row>
    <row r="340" ht="15.75" customHeight="1">
      <c r="A340" s="14">
        <v>46305.0</v>
      </c>
      <c r="B340" s="5" t="s">
        <v>4127</v>
      </c>
      <c r="C340" s="15">
        <v>0.7708333333333334</v>
      </c>
      <c r="D340" s="5" t="s">
        <v>816</v>
      </c>
      <c r="E340" s="16" t="str">
        <f t="array" ref="E340">_xlfn.XLOOKUP(F340, Filmes!$D$2:$D$344, Filmes!$A$2:$A$344, "")</f>
        <v>107</v>
      </c>
      <c r="F340" s="7" t="s">
        <v>1494</v>
      </c>
      <c r="G340" s="17" t="s">
        <v>4130</v>
      </c>
      <c r="H340" s="17" t="s">
        <v>4131</v>
      </c>
      <c r="I340" s="19">
        <v>4.0</v>
      </c>
      <c r="J340" s="5"/>
      <c r="K340" s="5"/>
      <c r="L340" s="5"/>
      <c r="M340" s="5"/>
    </row>
    <row r="341" ht="15.75" customHeight="1">
      <c r="A341" s="14">
        <v>46301.0</v>
      </c>
      <c r="B341" s="5" t="s">
        <v>4121</v>
      </c>
      <c r="C341" s="15">
        <v>0.7916666666666666</v>
      </c>
      <c r="D341" s="5" t="s">
        <v>816</v>
      </c>
      <c r="E341" s="16" t="str">
        <f t="array" ref="E341">_xlfn.XLOOKUP(F341, Filmes!$D$2:$D$344, Filmes!$A$2:$A$344, "")</f>
        <v>108</v>
      </c>
      <c r="F341" s="7" t="s">
        <v>1510</v>
      </c>
      <c r="G341" s="17" t="s">
        <v>4139</v>
      </c>
      <c r="H341" s="17" t="s">
        <v>4140</v>
      </c>
      <c r="I341" s="19">
        <v>4.0</v>
      </c>
      <c r="J341" s="5"/>
      <c r="K341" s="5"/>
      <c r="L341" s="5" t="s">
        <v>65</v>
      </c>
      <c r="M341" s="5"/>
    </row>
    <row r="342" ht="15.75" customHeight="1">
      <c r="A342" s="14">
        <v>46303.0</v>
      </c>
      <c r="B342" s="5" t="s">
        <v>4124</v>
      </c>
      <c r="C342" s="15">
        <v>0.6875</v>
      </c>
      <c r="D342" s="5" t="s">
        <v>816</v>
      </c>
      <c r="E342" s="16" t="str">
        <f t="array" ref="E342">_xlfn.XLOOKUP(F342, Filmes!$D$2:$D$344, Filmes!$A$2:$A$344, "")</f>
        <v>108</v>
      </c>
      <c r="F342" s="7" t="s">
        <v>1510</v>
      </c>
      <c r="G342" s="17" t="s">
        <v>4128</v>
      </c>
      <c r="H342" s="17" t="s">
        <v>4129</v>
      </c>
      <c r="I342" s="19">
        <v>1.0</v>
      </c>
      <c r="J342" s="5"/>
      <c r="K342" s="5"/>
      <c r="L342" s="5"/>
      <c r="M342" s="5"/>
    </row>
    <row r="343" ht="15.75" customHeight="1">
      <c r="A343" s="14">
        <v>46305.0</v>
      </c>
      <c r="B343" s="5" t="s">
        <v>4127</v>
      </c>
      <c r="C343" s="15">
        <v>0.5729166666666666</v>
      </c>
      <c r="D343" s="5" t="s">
        <v>816</v>
      </c>
      <c r="E343" s="16" t="str">
        <f t="array" ref="E343">_xlfn.XLOOKUP(F343, Filmes!$D$2:$D$344, Filmes!$A$2:$A$344, "")</f>
        <v>108</v>
      </c>
      <c r="F343" s="7" t="s">
        <v>1510</v>
      </c>
      <c r="G343" s="17" t="s">
        <v>4130</v>
      </c>
      <c r="H343" s="17" t="s">
        <v>4131</v>
      </c>
      <c r="I343" s="19">
        <v>3.0</v>
      </c>
      <c r="J343" s="5"/>
      <c r="K343" s="5"/>
      <c r="L343" s="5"/>
      <c r="M343" s="5"/>
    </row>
    <row r="344" ht="15.75" customHeight="1">
      <c r="A344" s="14">
        <v>46302.0</v>
      </c>
      <c r="B344" s="5" t="s">
        <v>4143</v>
      </c>
      <c r="C344" s="15">
        <v>0.7916666666666666</v>
      </c>
      <c r="D344" s="5" t="s">
        <v>816</v>
      </c>
      <c r="E344" s="16" t="str">
        <f t="array" ref="E344">_xlfn.XLOOKUP(F344, Filmes!$D$2:$D$344, Filmes!$A$2:$A$344, "")</f>
        <v>109</v>
      </c>
      <c r="F344" s="7" t="s">
        <v>1524</v>
      </c>
      <c r="G344" s="17" t="s">
        <v>4139</v>
      </c>
      <c r="H344" s="17" t="s">
        <v>4140</v>
      </c>
      <c r="I344" s="19">
        <v>3.0</v>
      </c>
      <c r="J344" s="5"/>
      <c r="K344" s="5"/>
      <c r="L344" s="5" t="s">
        <v>65</v>
      </c>
      <c r="M344" s="5"/>
    </row>
    <row r="345" ht="15.75" customHeight="1">
      <c r="A345" s="14">
        <v>46303.0</v>
      </c>
      <c r="B345" s="5" t="s">
        <v>4124</v>
      </c>
      <c r="C345" s="15">
        <v>0.7916666666666666</v>
      </c>
      <c r="D345" s="5" t="s">
        <v>816</v>
      </c>
      <c r="E345" s="16" t="str">
        <f t="array" ref="E345">_xlfn.XLOOKUP(F345, Filmes!$D$2:$D$344, Filmes!$A$2:$A$344, "")</f>
        <v>109</v>
      </c>
      <c r="F345" s="7" t="s">
        <v>1524</v>
      </c>
      <c r="G345" s="17" t="s">
        <v>4137</v>
      </c>
      <c r="H345" s="17" t="s">
        <v>4138</v>
      </c>
      <c r="I345" s="19">
        <v>1.0</v>
      </c>
      <c r="J345" s="5"/>
      <c r="K345" s="5"/>
      <c r="L345" s="5" t="s">
        <v>65</v>
      </c>
      <c r="M345" s="5"/>
    </row>
    <row r="346" ht="15.75" customHeight="1">
      <c r="A346" s="14">
        <v>46304.0</v>
      </c>
      <c r="B346" s="5" t="s">
        <v>4135</v>
      </c>
      <c r="C346" s="15">
        <v>0.75</v>
      </c>
      <c r="D346" s="5" t="s">
        <v>816</v>
      </c>
      <c r="E346" s="16" t="str">
        <f t="array" ref="E346">_xlfn.XLOOKUP(F346, Filmes!$D$2:$D$344, Filmes!$A$2:$A$344, "")</f>
        <v>109</v>
      </c>
      <c r="F346" s="7" t="s">
        <v>1524</v>
      </c>
      <c r="G346" s="17" t="s">
        <v>4133</v>
      </c>
      <c r="H346" s="17" t="s">
        <v>4134</v>
      </c>
      <c r="I346" s="19">
        <v>1.0</v>
      </c>
      <c r="J346" s="5"/>
      <c r="K346" s="5"/>
      <c r="L346" s="5"/>
      <c r="M346" s="5"/>
    </row>
    <row r="347" ht="15.75" customHeight="1">
      <c r="A347" s="14">
        <v>46306.0</v>
      </c>
      <c r="B347" s="5" t="s">
        <v>4136</v>
      </c>
      <c r="C347" s="15">
        <v>0.5833333333333334</v>
      </c>
      <c r="D347" s="5" t="s">
        <v>816</v>
      </c>
      <c r="E347" s="16" t="str">
        <f t="array" ref="E347">_xlfn.XLOOKUP(F347, Filmes!$D$2:$D$344, Filmes!$A$2:$A$344, "")</f>
        <v>109</v>
      </c>
      <c r="F347" s="7" t="s">
        <v>1524</v>
      </c>
      <c r="G347" s="17" t="s">
        <v>4128</v>
      </c>
      <c r="H347" s="17" t="s">
        <v>4129</v>
      </c>
      <c r="I347" s="19">
        <v>3.0</v>
      </c>
      <c r="J347" s="5"/>
      <c r="K347" s="5"/>
      <c r="L347" s="5"/>
      <c r="M347" s="5"/>
    </row>
    <row r="348" ht="15.75" customHeight="1">
      <c r="A348" s="14">
        <v>46296.0</v>
      </c>
      <c r="B348" s="5" t="s">
        <v>4124</v>
      </c>
      <c r="C348" s="15">
        <v>0.8854166666666666</v>
      </c>
      <c r="D348" s="5" t="s">
        <v>816</v>
      </c>
      <c r="E348" s="16" t="str">
        <f t="array" ref="E348">_xlfn.XLOOKUP(F348, Filmes!$D$2:$D$344, Filmes!$A$2:$A$344, "")</f>
        <v>110</v>
      </c>
      <c r="F348" s="7" t="s">
        <v>1539</v>
      </c>
      <c r="G348" s="17" t="s">
        <v>4130</v>
      </c>
      <c r="H348" s="17" t="s">
        <v>4131</v>
      </c>
      <c r="I348" s="19">
        <v>3.0</v>
      </c>
      <c r="J348" s="5"/>
      <c r="K348" s="5"/>
      <c r="L348" s="5"/>
      <c r="M348" s="5"/>
    </row>
    <row r="349" ht="15.75" customHeight="1">
      <c r="A349" s="14">
        <v>46299.0</v>
      </c>
      <c r="B349" s="5" t="s">
        <v>4136</v>
      </c>
      <c r="C349" s="15">
        <v>0.6666666666666666</v>
      </c>
      <c r="D349" s="5" t="s">
        <v>816</v>
      </c>
      <c r="E349" s="16" t="str">
        <f t="array" ref="E349">_xlfn.XLOOKUP(F349, Filmes!$D$2:$D$344, Filmes!$A$2:$A$344, "")</f>
        <v>110</v>
      </c>
      <c r="F349" s="7" t="s">
        <v>1539</v>
      </c>
      <c r="G349" s="17" t="s">
        <v>4133</v>
      </c>
      <c r="H349" s="17" t="s">
        <v>4134</v>
      </c>
      <c r="I349" s="19">
        <v>1.0</v>
      </c>
      <c r="J349" s="5"/>
      <c r="K349" s="5"/>
      <c r="L349" s="5"/>
      <c r="M349" s="5"/>
    </row>
    <row r="350" ht="15.75" customHeight="1">
      <c r="A350" s="14">
        <v>46305.0</v>
      </c>
      <c r="B350" s="5" t="s">
        <v>4127</v>
      </c>
      <c r="C350" s="15">
        <v>0.75</v>
      </c>
      <c r="D350" s="5" t="s">
        <v>816</v>
      </c>
      <c r="E350" s="16" t="str">
        <f t="array" ref="E350">_xlfn.XLOOKUP(F350, Filmes!$D$2:$D$344, Filmes!$A$2:$A$344, "")</f>
        <v>110</v>
      </c>
      <c r="F350" s="7" t="s">
        <v>1539</v>
      </c>
      <c r="G350" s="17" t="s">
        <v>4141</v>
      </c>
      <c r="H350" s="17" t="s">
        <v>4142</v>
      </c>
      <c r="I350" s="18"/>
      <c r="J350" s="5"/>
      <c r="K350" s="5"/>
      <c r="L350" s="5"/>
      <c r="M350" s="5"/>
    </row>
    <row r="351" ht="15.75" customHeight="1">
      <c r="A351" s="14">
        <v>46297.0</v>
      </c>
      <c r="B351" s="5" t="s">
        <v>4135</v>
      </c>
      <c r="C351" s="15">
        <v>0.8229166666666666</v>
      </c>
      <c r="D351" s="5" t="s">
        <v>816</v>
      </c>
      <c r="E351" s="16" t="str">
        <f t="array" ref="E351">_xlfn.XLOOKUP(F351, Filmes!$D$2:$D$344, Filmes!$A$2:$A$344, "")</f>
        <v>111</v>
      </c>
      <c r="F351" s="7" t="s">
        <v>1553</v>
      </c>
      <c r="G351" s="17" t="s">
        <v>4133</v>
      </c>
      <c r="H351" s="17" t="s">
        <v>4134</v>
      </c>
      <c r="I351" s="19">
        <v>2.0</v>
      </c>
      <c r="J351" s="5"/>
      <c r="K351" s="5"/>
      <c r="L351" s="5"/>
      <c r="M351" s="5"/>
    </row>
    <row r="352" ht="15.75" customHeight="1">
      <c r="A352" s="14">
        <v>46302.0</v>
      </c>
      <c r="B352" s="5" t="s">
        <v>4143</v>
      </c>
      <c r="C352" s="15">
        <v>0.6875</v>
      </c>
      <c r="D352" s="5" t="s">
        <v>816</v>
      </c>
      <c r="E352" s="16" t="str">
        <f t="array" ref="E352">_xlfn.XLOOKUP(F352, Filmes!$D$2:$D$344, Filmes!$A$2:$A$344, "")</f>
        <v>111</v>
      </c>
      <c r="F352" s="7" t="s">
        <v>1553</v>
      </c>
      <c r="G352" s="17" t="s">
        <v>4128</v>
      </c>
      <c r="H352" s="17" t="s">
        <v>4129</v>
      </c>
      <c r="I352" s="19">
        <v>1.0</v>
      </c>
      <c r="J352" s="5"/>
      <c r="K352" s="5"/>
      <c r="L352" s="5"/>
      <c r="M352" s="5"/>
    </row>
    <row r="353" ht="15.75" customHeight="1">
      <c r="A353" s="14">
        <v>46305.0</v>
      </c>
      <c r="B353" s="5" t="s">
        <v>4127</v>
      </c>
      <c r="C353" s="15">
        <v>0.5625</v>
      </c>
      <c r="D353" s="5" t="s">
        <v>816</v>
      </c>
      <c r="E353" s="16" t="str">
        <f t="array" ref="E353">_xlfn.XLOOKUP(F353, Filmes!$D$2:$D$344, Filmes!$A$2:$A$344, "")</f>
        <v>111</v>
      </c>
      <c r="F353" s="7" t="s">
        <v>1553</v>
      </c>
      <c r="G353" s="17" t="s">
        <v>4130</v>
      </c>
      <c r="H353" s="17" t="s">
        <v>4131</v>
      </c>
      <c r="I353" s="19">
        <v>2.0</v>
      </c>
      <c r="J353" s="5"/>
      <c r="K353" s="5"/>
      <c r="L353" s="5"/>
      <c r="M353" s="5"/>
    </row>
    <row r="354" ht="15.75" customHeight="1">
      <c r="A354" s="14">
        <v>46297.0</v>
      </c>
      <c r="B354" s="5" t="s">
        <v>4135</v>
      </c>
      <c r="C354" s="15">
        <v>0.6770833333333334</v>
      </c>
      <c r="D354" s="5" t="s">
        <v>816</v>
      </c>
      <c r="E354" s="16" t="str">
        <f t="array" ref="E354">_xlfn.XLOOKUP(F354, Filmes!$D$2:$D$344, Filmes!$A$2:$A$344, "")</f>
        <v>112</v>
      </c>
      <c r="F354" s="7" t="s">
        <v>1566</v>
      </c>
      <c r="G354" s="17" t="s">
        <v>4130</v>
      </c>
      <c r="H354" s="17" t="s">
        <v>4131</v>
      </c>
      <c r="I354" s="19">
        <v>3.0</v>
      </c>
      <c r="J354" s="5"/>
      <c r="K354" s="5"/>
      <c r="L354" s="5"/>
      <c r="M354" s="5"/>
    </row>
    <row r="355" ht="15.75" customHeight="1">
      <c r="A355" s="14">
        <v>46299.0</v>
      </c>
      <c r="B355" s="5" t="s">
        <v>4136</v>
      </c>
      <c r="C355" s="15">
        <v>0.8229166666666666</v>
      </c>
      <c r="D355" s="5" t="s">
        <v>816</v>
      </c>
      <c r="E355" s="16" t="str">
        <f t="array" ref="E355">_xlfn.XLOOKUP(F355, Filmes!$D$2:$D$344, Filmes!$A$2:$A$344, "")</f>
        <v>112</v>
      </c>
      <c r="F355" s="7" t="s">
        <v>1566</v>
      </c>
      <c r="G355" s="17" t="s">
        <v>4133</v>
      </c>
      <c r="H355" s="17" t="s">
        <v>4134</v>
      </c>
      <c r="I355" s="19">
        <v>2.0</v>
      </c>
      <c r="J355" s="5"/>
      <c r="K355" s="5"/>
      <c r="L355" s="5"/>
      <c r="M355" s="5"/>
    </row>
    <row r="356" ht="15.75" customHeight="1">
      <c r="A356" s="14">
        <v>46305.0</v>
      </c>
      <c r="B356" s="5" t="s">
        <v>4127</v>
      </c>
      <c r="C356" s="15">
        <v>0.59375</v>
      </c>
      <c r="D356" s="5" t="s">
        <v>816</v>
      </c>
      <c r="E356" s="16" t="str">
        <f t="array" ref="E356">_xlfn.XLOOKUP(F356, Filmes!$D$2:$D$344, Filmes!$A$2:$A$344, "")</f>
        <v>112</v>
      </c>
      <c r="F356" s="7" t="s">
        <v>1566</v>
      </c>
      <c r="G356" s="17" t="s">
        <v>4128</v>
      </c>
      <c r="H356" s="17" t="s">
        <v>4129</v>
      </c>
      <c r="I356" s="19">
        <v>4.0</v>
      </c>
      <c r="J356" s="5"/>
      <c r="K356" s="5"/>
      <c r="L356" s="5"/>
      <c r="M356" s="5"/>
    </row>
    <row r="357" ht="15.75" customHeight="1">
      <c r="A357" s="14">
        <v>46297.0</v>
      </c>
      <c r="B357" s="5" t="s">
        <v>4135</v>
      </c>
      <c r="C357" s="15">
        <v>0.6875</v>
      </c>
      <c r="D357" s="5" t="s">
        <v>816</v>
      </c>
      <c r="E357" s="16" t="str">
        <f t="array" ref="E357">_xlfn.XLOOKUP(F357, Filmes!$D$2:$D$344, Filmes!$A$2:$A$344, "")</f>
        <v>113</v>
      </c>
      <c r="F357" s="7" t="s">
        <v>1578</v>
      </c>
      <c r="G357" s="17" t="s">
        <v>4139</v>
      </c>
      <c r="H357" s="17" t="s">
        <v>4140</v>
      </c>
      <c r="I357" s="19">
        <v>5.0</v>
      </c>
      <c r="J357" s="5"/>
      <c r="K357" s="5"/>
      <c r="L357" s="5"/>
      <c r="M357" s="5"/>
    </row>
    <row r="358" ht="15.75" customHeight="1">
      <c r="A358" s="14">
        <v>46299.0</v>
      </c>
      <c r="B358" s="5" t="s">
        <v>4136</v>
      </c>
      <c r="C358" s="15">
        <v>0.8854166666666666</v>
      </c>
      <c r="D358" s="5" t="s">
        <v>816</v>
      </c>
      <c r="E358" s="16" t="str">
        <f t="array" ref="E358">_xlfn.XLOOKUP(F358, Filmes!$D$2:$D$344, Filmes!$A$2:$A$344, "")</f>
        <v>113</v>
      </c>
      <c r="F358" s="7" t="s">
        <v>1578</v>
      </c>
      <c r="G358" s="17" t="s">
        <v>4130</v>
      </c>
      <c r="H358" s="17" t="s">
        <v>4131</v>
      </c>
      <c r="I358" s="19">
        <v>3.0</v>
      </c>
      <c r="J358" s="5"/>
      <c r="K358" s="5"/>
      <c r="L358" s="5"/>
      <c r="M358" s="5"/>
    </row>
    <row r="359" ht="15.75" customHeight="1">
      <c r="A359" s="14">
        <v>46304.0</v>
      </c>
      <c r="B359" s="5" t="s">
        <v>4135</v>
      </c>
      <c r="C359" s="15">
        <v>0.7395833333333334</v>
      </c>
      <c r="D359" s="5" t="s">
        <v>816</v>
      </c>
      <c r="E359" s="16" t="str">
        <f t="array" ref="E359">_xlfn.XLOOKUP(F359, Filmes!$D$2:$D$344, Filmes!$A$2:$A$344, "")</f>
        <v>113</v>
      </c>
      <c r="F359" s="7" t="s">
        <v>1578</v>
      </c>
      <c r="G359" s="17" t="s">
        <v>4133</v>
      </c>
      <c r="H359" s="17" t="s">
        <v>4134</v>
      </c>
      <c r="I359" s="19">
        <v>2.0</v>
      </c>
      <c r="J359" s="5"/>
      <c r="K359" s="5"/>
      <c r="L359" s="5"/>
      <c r="M359" s="5"/>
    </row>
    <row r="360" ht="15.75" customHeight="1">
      <c r="A360" s="14">
        <v>46297.0</v>
      </c>
      <c r="B360" s="5" t="s">
        <v>4135</v>
      </c>
      <c r="C360" s="15">
        <v>0.7916666666666666</v>
      </c>
      <c r="D360" s="5" t="s">
        <v>816</v>
      </c>
      <c r="E360" s="16" t="str">
        <f t="array" ref="E360">_xlfn.XLOOKUP(F360, Filmes!$D$2:$D$344, Filmes!$A$2:$A$344, "")</f>
        <v>114</v>
      </c>
      <c r="F360" s="7" t="s">
        <v>1592</v>
      </c>
      <c r="G360" s="17" t="s">
        <v>4130</v>
      </c>
      <c r="H360" s="17" t="s">
        <v>4131</v>
      </c>
      <c r="I360" s="19">
        <v>5.0</v>
      </c>
      <c r="J360" s="5"/>
      <c r="K360" s="5"/>
      <c r="L360" s="5" t="s">
        <v>65</v>
      </c>
      <c r="M360" s="5"/>
    </row>
    <row r="361" ht="15.75" customHeight="1">
      <c r="A361" s="14">
        <v>46299.0</v>
      </c>
      <c r="B361" s="5" t="s">
        <v>4136</v>
      </c>
      <c r="C361" s="15">
        <v>0.6666666666666666</v>
      </c>
      <c r="D361" s="5" t="s">
        <v>816</v>
      </c>
      <c r="E361" s="16" t="str">
        <f t="array" ref="E361">_xlfn.XLOOKUP(F361, Filmes!$D$2:$D$344, Filmes!$A$2:$A$344, "")</f>
        <v>114</v>
      </c>
      <c r="F361" s="7" t="s">
        <v>1592</v>
      </c>
      <c r="G361" s="17" t="s">
        <v>4128</v>
      </c>
      <c r="H361" s="17" t="s">
        <v>4129</v>
      </c>
      <c r="I361" s="19">
        <v>3.0</v>
      </c>
      <c r="J361" s="5"/>
      <c r="K361" s="5"/>
      <c r="L361" s="5"/>
      <c r="M361" s="5"/>
    </row>
    <row r="362" ht="15.75" customHeight="1">
      <c r="A362" s="14">
        <v>46304.0</v>
      </c>
      <c r="B362" s="5" t="s">
        <v>4135</v>
      </c>
      <c r="C362" s="15">
        <v>0.5833333333333334</v>
      </c>
      <c r="D362" s="5" t="s">
        <v>816</v>
      </c>
      <c r="E362" s="16" t="str">
        <f t="array" ref="E362">_xlfn.XLOOKUP(F362, Filmes!$D$2:$D$344, Filmes!$A$2:$A$344, "")</f>
        <v>114</v>
      </c>
      <c r="F362" s="7" t="s">
        <v>1592</v>
      </c>
      <c r="G362" s="17" t="s">
        <v>4125</v>
      </c>
      <c r="H362" s="17" t="s">
        <v>4126</v>
      </c>
      <c r="I362" s="19">
        <v>2.0</v>
      </c>
      <c r="J362" s="5"/>
      <c r="K362" s="5"/>
      <c r="L362" s="5"/>
      <c r="M362" s="5"/>
    </row>
    <row r="363" ht="15.75" customHeight="1">
      <c r="A363" s="14">
        <v>46297.0</v>
      </c>
      <c r="B363" s="5" t="s">
        <v>4135</v>
      </c>
      <c r="C363" s="15">
        <v>0.7604166666666666</v>
      </c>
      <c r="D363" s="5" t="s">
        <v>816</v>
      </c>
      <c r="E363" s="16" t="str">
        <f t="array" ref="E363">_xlfn.XLOOKUP(F363, Filmes!$D$2:$D$344, Filmes!$A$2:$A$344, "")</f>
        <v>115</v>
      </c>
      <c r="F363" s="7" t="s">
        <v>1605</v>
      </c>
      <c r="G363" s="17" t="s">
        <v>4141</v>
      </c>
      <c r="H363" s="17" t="s">
        <v>4142</v>
      </c>
      <c r="I363" s="18"/>
      <c r="J363" s="5"/>
      <c r="K363" s="5"/>
      <c r="L363" s="5"/>
      <c r="M363" s="5"/>
    </row>
    <row r="364" ht="15.75" customHeight="1">
      <c r="A364" s="14">
        <v>46300.0</v>
      </c>
      <c r="B364" s="5" t="s">
        <v>4132</v>
      </c>
      <c r="C364" s="15">
        <v>0.6770833333333334</v>
      </c>
      <c r="D364" s="5" t="s">
        <v>816</v>
      </c>
      <c r="E364" s="16" t="str">
        <f t="array" ref="E364">_xlfn.XLOOKUP(F364, Filmes!$D$2:$D$344, Filmes!$A$2:$A$344, "")</f>
        <v>115</v>
      </c>
      <c r="F364" s="7" t="s">
        <v>1605</v>
      </c>
      <c r="G364" s="17" t="s">
        <v>4130</v>
      </c>
      <c r="H364" s="17" t="s">
        <v>4131</v>
      </c>
      <c r="I364" s="19">
        <v>5.0</v>
      </c>
      <c r="J364" s="5"/>
      <c r="K364" s="5"/>
      <c r="L364" s="5"/>
      <c r="M364" s="5"/>
    </row>
    <row r="365" ht="15.75" customHeight="1">
      <c r="A365" s="14">
        <v>46305.0</v>
      </c>
      <c r="B365" s="5" t="s">
        <v>4127</v>
      </c>
      <c r="C365" s="15">
        <v>0.875</v>
      </c>
      <c r="D365" s="5" t="s">
        <v>816</v>
      </c>
      <c r="E365" s="16" t="str">
        <f t="array" ref="E365">_xlfn.XLOOKUP(F365, Filmes!$D$2:$D$344, Filmes!$A$2:$A$344, "")</f>
        <v>115</v>
      </c>
      <c r="F365" s="7" t="s">
        <v>1605</v>
      </c>
      <c r="G365" s="17" t="s">
        <v>4139</v>
      </c>
      <c r="H365" s="17" t="s">
        <v>4140</v>
      </c>
      <c r="I365" s="19">
        <v>4.0</v>
      </c>
      <c r="J365" s="5"/>
      <c r="K365" s="5"/>
      <c r="L365" s="5"/>
      <c r="M365" s="5"/>
    </row>
    <row r="366" ht="15.75" customHeight="1">
      <c r="A366" s="14">
        <v>46299.0</v>
      </c>
      <c r="B366" s="5" t="s">
        <v>4136</v>
      </c>
      <c r="C366" s="15">
        <v>0.7708333333333334</v>
      </c>
      <c r="D366" s="5" t="s">
        <v>816</v>
      </c>
      <c r="E366" s="16" t="str">
        <f t="array" ref="E366">_xlfn.XLOOKUP(F366, Filmes!$D$2:$D$344, Filmes!$A$2:$A$344, "")</f>
        <v>116</v>
      </c>
      <c r="F366" s="7" t="s">
        <v>1619</v>
      </c>
      <c r="G366" s="17" t="s">
        <v>4130</v>
      </c>
      <c r="H366" s="17" t="s">
        <v>4131</v>
      </c>
      <c r="I366" s="19">
        <v>2.0</v>
      </c>
      <c r="J366" s="5"/>
      <c r="K366" s="5"/>
      <c r="L366" s="5"/>
      <c r="M366" s="5"/>
    </row>
    <row r="367" ht="15.75" customHeight="1">
      <c r="A367" s="14">
        <v>46303.0</v>
      </c>
      <c r="B367" s="5" t="s">
        <v>4124</v>
      </c>
      <c r="C367" s="15">
        <v>0.6979166666666666</v>
      </c>
      <c r="D367" s="5" t="s">
        <v>816</v>
      </c>
      <c r="E367" s="16" t="str">
        <f t="array" ref="E367">_xlfn.XLOOKUP(F367, Filmes!$D$2:$D$344, Filmes!$A$2:$A$344, "")</f>
        <v>116</v>
      </c>
      <c r="F367" s="7" t="s">
        <v>1619</v>
      </c>
      <c r="G367" s="17" t="s">
        <v>4128</v>
      </c>
      <c r="H367" s="17" t="s">
        <v>4129</v>
      </c>
      <c r="I367" s="19">
        <v>4.0</v>
      </c>
      <c r="J367" s="5"/>
      <c r="K367" s="5"/>
      <c r="L367" s="5"/>
      <c r="M367" s="5"/>
    </row>
    <row r="368" ht="15.75" customHeight="1">
      <c r="A368" s="14">
        <v>46305.0</v>
      </c>
      <c r="B368" s="5" t="s">
        <v>4127</v>
      </c>
      <c r="C368" s="15">
        <v>0.8854166666666666</v>
      </c>
      <c r="D368" s="5" t="s">
        <v>816</v>
      </c>
      <c r="E368" s="16" t="str">
        <f t="array" ref="E368">_xlfn.XLOOKUP(F368, Filmes!$D$2:$D$344, Filmes!$A$2:$A$344, "")</f>
        <v>116</v>
      </c>
      <c r="F368" s="7" t="s">
        <v>1619</v>
      </c>
      <c r="G368" s="17" t="s">
        <v>4139</v>
      </c>
      <c r="H368" s="17" t="s">
        <v>4140</v>
      </c>
      <c r="I368" s="19">
        <v>5.0</v>
      </c>
      <c r="J368" s="5"/>
      <c r="K368" s="5"/>
      <c r="L368" s="5"/>
      <c r="M368" s="5"/>
    </row>
    <row r="369" ht="15.75" customHeight="1">
      <c r="A369" s="14">
        <v>46296.0</v>
      </c>
      <c r="B369" s="5" t="s">
        <v>4124</v>
      </c>
      <c r="C369" s="15">
        <v>0.75</v>
      </c>
      <c r="D369" s="5" t="s">
        <v>816</v>
      </c>
      <c r="E369" s="16" t="str">
        <f t="array" ref="E369">_xlfn.XLOOKUP(F369, Filmes!$D$2:$D$344, Filmes!$A$2:$A$344, "")</f>
        <v>117</v>
      </c>
      <c r="F369" s="7" t="s">
        <v>1631</v>
      </c>
      <c r="G369" s="17" t="s">
        <v>4133</v>
      </c>
      <c r="H369" s="17" t="s">
        <v>4134</v>
      </c>
      <c r="I369" s="19">
        <v>1.0</v>
      </c>
      <c r="J369" s="5"/>
      <c r="K369" s="5"/>
      <c r="L369" s="5"/>
      <c r="M369" s="5"/>
    </row>
    <row r="370" ht="15.75" customHeight="1">
      <c r="A370" s="14">
        <v>46299.0</v>
      </c>
      <c r="B370" s="5" t="s">
        <v>4136</v>
      </c>
      <c r="C370" s="15">
        <v>0.5729166666666666</v>
      </c>
      <c r="D370" s="5" t="s">
        <v>816</v>
      </c>
      <c r="E370" s="16" t="str">
        <f t="array" ref="E370">_xlfn.XLOOKUP(F370, Filmes!$D$2:$D$344, Filmes!$A$2:$A$344, "")</f>
        <v>117</v>
      </c>
      <c r="F370" s="7" t="s">
        <v>1631</v>
      </c>
      <c r="G370" s="17" t="s">
        <v>4141</v>
      </c>
      <c r="H370" s="17" t="s">
        <v>4142</v>
      </c>
      <c r="I370" s="18"/>
      <c r="J370" s="5"/>
      <c r="K370" s="5"/>
      <c r="L370" s="5"/>
      <c r="M370" s="5"/>
    </row>
    <row r="371" ht="15.75" customHeight="1">
      <c r="A371" s="14">
        <v>46302.0</v>
      </c>
      <c r="B371" s="5" t="s">
        <v>4143</v>
      </c>
      <c r="C371" s="15">
        <v>0.8958333333333334</v>
      </c>
      <c r="D371" s="5" t="s">
        <v>816</v>
      </c>
      <c r="E371" s="16" t="str">
        <f t="array" ref="E371">_xlfn.XLOOKUP(F371, Filmes!$D$2:$D$344, Filmes!$A$2:$A$344, "")</f>
        <v>117</v>
      </c>
      <c r="F371" s="7" t="s">
        <v>1631</v>
      </c>
      <c r="G371" s="17" t="s">
        <v>4130</v>
      </c>
      <c r="H371" s="17" t="s">
        <v>4131</v>
      </c>
      <c r="I371" s="19">
        <v>1.0</v>
      </c>
      <c r="J371" s="5"/>
      <c r="K371" s="5"/>
      <c r="L371" s="5"/>
      <c r="M371" s="5"/>
    </row>
    <row r="372" ht="15.75" customHeight="1">
      <c r="A372" s="14">
        <v>46302.0</v>
      </c>
      <c r="B372" s="5" t="s">
        <v>4143</v>
      </c>
      <c r="C372" s="15">
        <v>0.78125</v>
      </c>
      <c r="D372" s="5" t="s">
        <v>816</v>
      </c>
      <c r="E372" s="16" t="str">
        <f t="array" ref="E372">_xlfn.XLOOKUP(F372, Filmes!$D$2:$D$344, Filmes!$A$2:$A$344, "")</f>
        <v>118</v>
      </c>
      <c r="F372" s="7" t="s">
        <v>1646</v>
      </c>
      <c r="G372" s="17" t="s">
        <v>4139</v>
      </c>
      <c r="H372" s="17" t="s">
        <v>4140</v>
      </c>
      <c r="I372" s="19">
        <v>4.0</v>
      </c>
      <c r="J372" s="5"/>
      <c r="K372" s="5"/>
      <c r="L372" s="5" t="s">
        <v>65</v>
      </c>
      <c r="M372" s="5"/>
    </row>
    <row r="373" ht="15.75" customHeight="1">
      <c r="A373" s="14">
        <v>46304.0</v>
      </c>
      <c r="B373" s="5" t="s">
        <v>4135</v>
      </c>
      <c r="C373" s="15">
        <v>0.5833333333333334</v>
      </c>
      <c r="D373" s="5" t="s">
        <v>816</v>
      </c>
      <c r="E373" s="16" t="str">
        <f t="array" ref="E373">_xlfn.XLOOKUP(F373, Filmes!$D$2:$D$344, Filmes!$A$2:$A$344, "")</f>
        <v>118</v>
      </c>
      <c r="F373" s="7" t="s">
        <v>1646</v>
      </c>
      <c r="G373" s="17" t="s">
        <v>4133</v>
      </c>
      <c r="H373" s="17" t="s">
        <v>4134</v>
      </c>
      <c r="I373" s="19">
        <v>1.0</v>
      </c>
      <c r="J373" s="5"/>
      <c r="K373" s="5"/>
      <c r="L373" s="5"/>
      <c r="M373" s="5"/>
    </row>
    <row r="374" ht="15.75" customHeight="1">
      <c r="A374" s="14">
        <v>46306.0</v>
      </c>
      <c r="B374" s="5" t="s">
        <v>4136</v>
      </c>
      <c r="C374" s="15">
        <v>0.6875</v>
      </c>
      <c r="D374" s="5" t="s">
        <v>816</v>
      </c>
      <c r="E374" s="16" t="str">
        <f t="array" ref="E374">_xlfn.XLOOKUP(F374, Filmes!$D$2:$D$344, Filmes!$A$2:$A$344, "")</f>
        <v>118</v>
      </c>
      <c r="F374" s="7" t="s">
        <v>1646</v>
      </c>
      <c r="G374" s="17" t="s">
        <v>4130</v>
      </c>
      <c r="H374" s="17" t="s">
        <v>4131</v>
      </c>
      <c r="I374" s="19">
        <v>1.0</v>
      </c>
      <c r="J374" s="5"/>
      <c r="K374" s="5"/>
      <c r="L374" s="5"/>
      <c r="M374" s="5"/>
    </row>
    <row r="375" ht="15.75" customHeight="1">
      <c r="A375" s="14">
        <v>46297.0</v>
      </c>
      <c r="B375" s="5" t="s">
        <v>4135</v>
      </c>
      <c r="C375" s="15">
        <v>0.6770833333333334</v>
      </c>
      <c r="D375" s="5" t="s">
        <v>816</v>
      </c>
      <c r="E375" s="16" t="str">
        <f t="array" ref="E375">_xlfn.XLOOKUP(F375, Filmes!$D$2:$D$344, Filmes!$A$2:$A$344, "")</f>
        <v>119</v>
      </c>
      <c r="F375" s="7" t="s">
        <v>1661</v>
      </c>
      <c r="G375" s="17" t="s">
        <v>4128</v>
      </c>
      <c r="H375" s="17" t="s">
        <v>4129</v>
      </c>
      <c r="I375" s="19">
        <v>3.0</v>
      </c>
      <c r="J375" s="5"/>
      <c r="K375" s="5"/>
      <c r="L375" s="5"/>
      <c r="M375" s="5"/>
    </row>
    <row r="376" ht="15.75" customHeight="1">
      <c r="A376" s="14">
        <v>46301.0</v>
      </c>
      <c r="B376" s="5" t="s">
        <v>4121</v>
      </c>
      <c r="C376" s="15">
        <v>0.8333333333333334</v>
      </c>
      <c r="D376" s="5" t="s">
        <v>816</v>
      </c>
      <c r="E376" s="16" t="str">
        <f t="array" ref="E376">_xlfn.XLOOKUP(F376, Filmes!$D$2:$D$344, Filmes!$A$2:$A$344, "")</f>
        <v>119</v>
      </c>
      <c r="F376" s="7" t="s">
        <v>1661</v>
      </c>
      <c r="G376" s="17" t="s">
        <v>4133</v>
      </c>
      <c r="H376" s="17" t="s">
        <v>4134</v>
      </c>
      <c r="I376" s="19">
        <v>1.0</v>
      </c>
      <c r="J376" s="5"/>
      <c r="K376" s="5"/>
      <c r="L376" s="5"/>
      <c r="M376" s="5"/>
    </row>
    <row r="377" ht="15.75" customHeight="1">
      <c r="A377" s="14">
        <v>46305.0</v>
      </c>
      <c r="B377" s="5" t="s">
        <v>4127</v>
      </c>
      <c r="C377" s="15">
        <v>0.5833333333333334</v>
      </c>
      <c r="D377" s="5" t="s">
        <v>816</v>
      </c>
      <c r="E377" s="16" t="str">
        <f t="array" ref="E377">_xlfn.XLOOKUP(F377, Filmes!$D$2:$D$344, Filmes!$A$2:$A$344, "")</f>
        <v>119</v>
      </c>
      <c r="F377" s="7" t="s">
        <v>1661</v>
      </c>
      <c r="G377" s="17" t="s">
        <v>4130</v>
      </c>
      <c r="H377" s="17" t="s">
        <v>4131</v>
      </c>
      <c r="I377" s="19">
        <v>1.0</v>
      </c>
      <c r="J377" s="5"/>
      <c r="K377" s="5"/>
      <c r="L377" s="5"/>
      <c r="M377" s="5"/>
    </row>
    <row r="378" ht="15.75" customHeight="1">
      <c r="A378" s="14">
        <v>46296.0</v>
      </c>
      <c r="B378" s="5" t="s">
        <v>4124</v>
      </c>
      <c r="C378" s="15">
        <v>0.7604166666666666</v>
      </c>
      <c r="D378" s="5" t="s">
        <v>816</v>
      </c>
      <c r="E378" s="16" t="str">
        <f t="array" ref="E378">_xlfn.XLOOKUP(F378, Filmes!$D$2:$D$344, Filmes!$A$2:$A$344, "")</f>
        <v>120</v>
      </c>
      <c r="F378" s="7" t="s">
        <v>1674</v>
      </c>
      <c r="G378" s="17" t="s">
        <v>4141</v>
      </c>
      <c r="H378" s="17" t="s">
        <v>4142</v>
      </c>
      <c r="I378" s="18"/>
      <c r="J378" s="5"/>
      <c r="K378" s="5"/>
      <c r="L378" s="5"/>
      <c r="M378" s="5"/>
    </row>
    <row r="379" ht="15.75" customHeight="1">
      <c r="A379" s="14">
        <v>46298.0</v>
      </c>
      <c r="B379" s="5" t="s">
        <v>4127</v>
      </c>
      <c r="C379" s="15">
        <v>0.8854166666666666</v>
      </c>
      <c r="D379" s="5" t="s">
        <v>816</v>
      </c>
      <c r="E379" s="16" t="str">
        <f t="array" ref="E379">_xlfn.XLOOKUP(F379, Filmes!$D$2:$D$344, Filmes!$A$2:$A$344, "")</f>
        <v>120</v>
      </c>
      <c r="F379" s="7" t="s">
        <v>1674</v>
      </c>
      <c r="G379" s="17" t="s">
        <v>4130</v>
      </c>
      <c r="H379" s="17" t="s">
        <v>4131</v>
      </c>
      <c r="I379" s="19">
        <v>5.0</v>
      </c>
      <c r="J379" s="5"/>
      <c r="K379" s="5"/>
      <c r="L379" s="5"/>
      <c r="M379" s="5"/>
    </row>
    <row r="380" ht="15.75" customHeight="1">
      <c r="A380" s="14">
        <v>46302.0</v>
      </c>
      <c r="B380" s="5" t="s">
        <v>4143</v>
      </c>
      <c r="C380" s="15">
        <v>0.7083333333333334</v>
      </c>
      <c r="D380" s="5" t="s">
        <v>816</v>
      </c>
      <c r="E380" s="16" t="str">
        <f t="array" ref="E380">_xlfn.XLOOKUP(F380, Filmes!$D$2:$D$344, Filmes!$A$2:$A$344, "")</f>
        <v>120</v>
      </c>
      <c r="F380" s="7" t="s">
        <v>1674</v>
      </c>
      <c r="G380" s="17" t="s">
        <v>4128</v>
      </c>
      <c r="H380" s="17" t="s">
        <v>4129</v>
      </c>
      <c r="I380" s="19">
        <v>4.0</v>
      </c>
      <c r="J380" s="5"/>
      <c r="K380" s="5"/>
      <c r="L380" s="5"/>
      <c r="M380" s="5"/>
    </row>
    <row r="381" ht="15.75" customHeight="1">
      <c r="A381" s="14">
        <v>46296.0</v>
      </c>
      <c r="B381" s="5" t="s">
        <v>4124</v>
      </c>
      <c r="C381" s="15">
        <v>0.8854166666666666</v>
      </c>
      <c r="D381" s="5" t="s">
        <v>816</v>
      </c>
      <c r="E381" s="16" t="str">
        <f t="array" ref="E381">_xlfn.XLOOKUP(F381, Filmes!$D$2:$D$344, Filmes!$A$2:$A$344, "")</f>
        <v>121</v>
      </c>
      <c r="F381" s="7" t="s">
        <v>1689</v>
      </c>
      <c r="G381" s="17" t="s">
        <v>4130</v>
      </c>
      <c r="H381" s="17" t="s">
        <v>4131</v>
      </c>
      <c r="I381" s="19">
        <v>5.0</v>
      </c>
      <c r="J381" s="5"/>
      <c r="K381" s="5"/>
      <c r="L381" s="5"/>
      <c r="M381" s="5"/>
    </row>
    <row r="382" ht="15.75" customHeight="1">
      <c r="A382" s="14">
        <v>46298.0</v>
      </c>
      <c r="B382" s="5" t="s">
        <v>4127</v>
      </c>
      <c r="C382" s="15">
        <v>0.5729166666666666</v>
      </c>
      <c r="D382" s="5" t="s">
        <v>816</v>
      </c>
      <c r="E382" s="16" t="str">
        <f t="array" ref="E382">_xlfn.XLOOKUP(F382, Filmes!$D$2:$D$344, Filmes!$A$2:$A$344, "")</f>
        <v>121</v>
      </c>
      <c r="F382" s="7" t="s">
        <v>1689</v>
      </c>
      <c r="G382" s="17" t="s">
        <v>4141</v>
      </c>
      <c r="H382" s="17" t="s">
        <v>4142</v>
      </c>
      <c r="I382" s="18"/>
      <c r="J382" s="5"/>
      <c r="K382" s="5"/>
      <c r="L382" s="5"/>
      <c r="M382" s="5"/>
    </row>
    <row r="383" ht="15.75" customHeight="1">
      <c r="A383" s="14">
        <v>46304.0</v>
      </c>
      <c r="B383" s="5" t="s">
        <v>4135</v>
      </c>
      <c r="C383" s="15">
        <v>0.7708333333333334</v>
      </c>
      <c r="D383" s="5" t="s">
        <v>816</v>
      </c>
      <c r="E383" s="16" t="str">
        <f t="array" ref="E383">_xlfn.XLOOKUP(F383, Filmes!$D$2:$D$344, Filmes!$A$2:$A$344, "")</f>
        <v>121</v>
      </c>
      <c r="F383" s="7" t="s">
        <v>1689</v>
      </c>
      <c r="G383" s="17" t="s">
        <v>4139</v>
      </c>
      <c r="H383" s="17" t="s">
        <v>4140</v>
      </c>
      <c r="I383" s="19">
        <v>3.0</v>
      </c>
      <c r="J383" s="5"/>
      <c r="K383" s="5"/>
      <c r="L383" s="5"/>
      <c r="M383" s="5"/>
    </row>
    <row r="384" ht="15.75" customHeight="1">
      <c r="A384" s="14">
        <v>46296.0</v>
      </c>
      <c r="B384" s="5" t="s">
        <v>4124</v>
      </c>
      <c r="C384" s="15">
        <v>0.6666666666666666</v>
      </c>
      <c r="D384" s="5" t="s">
        <v>1702</v>
      </c>
      <c r="E384" s="16" t="str">
        <f t="array" ref="E384">_xlfn.XLOOKUP(F384, Filmes!$D$2:$D$344, Filmes!$A$2:$A$344, "")</f>
        <v>122</v>
      </c>
      <c r="F384" s="7" t="s">
        <v>1703</v>
      </c>
      <c r="G384" s="17" t="s">
        <v>4141</v>
      </c>
      <c r="H384" s="17" t="s">
        <v>4142</v>
      </c>
      <c r="I384" s="18"/>
      <c r="J384" s="5"/>
      <c r="K384" s="5"/>
      <c r="L384" s="5"/>
      <c r="M384" s="5"/>
    </row>
    <row r="385" ht="15.75" customHeight="1">
      <c r="A385" s="14">
        <v>46298.0</v>
      </c>
      <c r="B385" s="5" t="s">
        <v>4127</v>
      </c>
      <c r="C385" s="15">
        <v>0.5729166666666666</v>
      </c>
      <c r="D385" s="5" t="s">
        <v>1702</v>
      </c>
      <c r="E385" s="16" t="str">
        <f t="array" ref="E385">_xlfn.XLOOKUP(F385, Filmes!$D$2:$D$344, Filmes!$A$2:$A$344, "")</f>
        <v>122</v>
      </c>
      <c r="F385" s="7" t="s">
        <v>1703</v>
      </c>
      <c r="G385" s="17" t="s">
        <v>4130</v>
      </c>
      <c r="H385" s="17" t="s">
        <v>4131</v>
      </c>
      <c r="I385" s="19">
        <v>5.0</v>
      </c>
      <c r="J385" s="5"/>
      <c r="K385" s="5"/>
      <c r="L385" s="5"/>
      <c r="M385" s="5"/>
    </row>
    <row r="386" ht="15.75" customHeight="1">
      <c r="A386" s="14">
        <v>46302.0</v>
      </c>
      <c r="B386" s="5" t="s">
        <v>4143</v>
      </c>
      <c r="C386" s="15">
        <v>0.8958333333333334</v>
      </c>
      <c r="D386" s="5" t="s">
        <v>1702</v>
      </c>
      <c r="E386" s="16" t="str">
        <f t="array" ref="E386">_xlfn.XLOOKUP(F386, Filmes!$D$2:$D$344, Filmes!$A$2:$A$344, "")</f>
        <v>122</v>
      </c>
      <c r="F386" s="7" t="s">
        <v>1703</v>
      </c>
      <c r="G386" s="17" t="s">
        <v>4139</v>
      </c>
      <c r="H386" s="17" t="s">
        <v>4140</v>
      </c>
      <c r="I386" s="19">
        <v>5.0</v>
      </c>
      <c r="J386" s="5"/>
      <c r="K386" s="5"/>
      <c r="L386" s="5"/>
      <c r="M386" s="5"/>
    </row>
    <row r="387" ht="15.75" customHeight="1">
      <c r="A387" s="14">
        <v>46301.0</v>
      </c>
      <c r="B387" s="5" t="s">
        <v>4121</v>
      </c>
      <c r="C387" s="15">
        <v>0.8854166666666666</v>
      </c>
      <c r="D387" s="5" t="s">
        <v>1702</v>
      </c>
      <c r="E387" s="16" t="str">
        <f t="array" ref="E387">_xlfn.XLOOKUP(F387, Filmes!$D$2:$D$344, Filmes!$A$2:$A$344, "")</f>
        <v>123</v>
      </c>
      <c r="F387" s="7" t="s">
        <v>1715</v>
      </c>
      <c r="G387" s="17" t="s">
        <v>4139</v>
      </c>
      <c r="H387" s="17" t="s">
        <v>4140</v>
      </c>
      <c r="I387" s="19">
        <v>5.0</v>
      </c>
      <c r="J387" s="5"/>
      <c r="K387" s="5"/>
      <c r="L387" s="5" t="s">
        <v>65</v>
      </c>
      <c r="M387" s="5"/>
    </row>
    <row r="388" ht="15.75" customHeight="1">
      <c r="A388" s="14">
        <v>46303.0</v>
      </c>
      <c r="B388" s="5" t="s">
        <v>4124</v>
      </c>
      <c r="C388" s="15">
        <v>0.6770833333333334</v>
      </c>
      <c r="D388" s="5" t="s">
        <v>1702</v>
      </c>
      <c r="E388" s="16" t="str">
        <f t="array" ref="E388">_xlfn.XLOOKUP(F388, Filmes!$D$2:$D$344, Filmes!$A$2:$A$344, "")</f>
        <v>123</v>
      </c>
      <c r="F388" s="7" t="s">
        <v>1715</v>
      </c>
      <c r="G388" s="17" t="s">
        <v>4130</v>
      </c>
      <c r="H388" s="17" t="s">
        <v>4131</v>
      </c>
      <c r="I388" s="19">
        <v>5.0</v>
      </c>
      <c r="J388" s="5"/>
      <c r="K388" s="5"/>
      <c r="L388" s="5"/>
      <c r="M388" s="5"/>
    </row>
    <row r="389" ht="15.75" customHeight="1">
      <c r="A389" s="14">
        <v>46305.0</v>
      </c>
      <c r="B389" s="5" t="s">
        <v>4127</v>
      </c>
      <c r="C389" s="15">
        <v>0.5729166666666666</v>
      </c>
      <c r="D389" s="5" t="s">
        <v>1702</v>
      </c>
      <c r="E389" s="16" t="str">
        <f t="array" ref="E389">_xlfn.XLOOKUP(F389, Filmes!$D$2:$D$344, Filmes!$A$2:$A$344, "")</f>
        <v>123</v>
      </c>
      <c r="F389" s="7" t="s">
        <v>1715</v>
      </c>
      <c r="G389" s="17" t="s">
        <v>4141</v>
      </c>
      <c r="H389" s="17" t="s">
        <v>4142</v>
      </c>
      <c r="I389" s="18"/>
      <c r="J389" s="5"/>
      <c r="K389" s="5"/>
      <c r="L389" s="5"/>
      <c r="M389" s="5"/>
    </row>
    <row r="390" ht="15.75" customHeight="1">
      <c r="A390" s="14">
        <v>46296.0</v>
      </c>
      <c r="B390" s="5" t="s">
        <v>4124</v>
      </c>
      <c r="C390" s="15">
        <v>0.7916666666666666</v>
      </c>
      <c r="D390" s="5" t="s">
        <v>1702</v>
      </c>
      <c r="E390" s="16" t="str">
        <f t="array" ref="E390">_xlfn.XLOOKUP(F390, Filmes!$D$2:$D$344, Filmes!$A$2:$A$344, "")</f>
        <v>124</v>
      </c>
      <c r="F390" s="7" t="s">
        <v>1729</v>
      </c>
      <c r="G390" s="17" t="s">
        <v>4137</v>
      </c>
      <c r="H390" s="17" t="s">
        <v>4138</v>
      </c>
      <c r="I390" s="19">
        <v>1.0</v>
      </c>
      <c r="J390" s="5"/>
      <c r="K390" s="5"/>
      <c r="L390" s="5"/>
      <c r="M390" s="5"/>
    </row>
    <row r="391" ht="15.75" customHeight="1">
      <c r="A391" s="14">
        <v>46299.0</v>
      </c>
      <c r="B391" s="5" t="s">
        <v>4136</v>
      </c>
      <c r="C391" s="15">
        <v>0.6770833333333334</v>
      </c>
      <c r="D391" s="5" t="s">
        <v>1702</v>
      </c>
      <c r="E391" s="16" t="str">
        <f t="array" ref="E391">_xlfn.XLOOKUP(F391, Filmes!$D$2:$D$344, Filmes!$A$2:$A$344, "")</f>
        <v>124</v>
      </c>
      <c r="F391" s="7" t="s">
        <v>1729</v>
      </c>
      <c r="G391" s="17" t="s">
        <v>4130</v>
      </c>
      <c r="H391" s="17" t="s">
        <v>4131</v>
      </c>
      <c r="I391" s="19">
        <v>3.0</v>
      </c>
      <c r="J391" s="5"/>
      <c r="K391" s="5"/>
      <c r="L391" s="5"/>
      <c r="M391" s="5"/>
    </row>
    <row r="392" ht="15.75" customHeight="1">
      <c r="A392" s="14">
        <v>46306.0</v>
      </c>
      <c r="B392" s="5" t="s">
        <v>4136</v>
      </c>
      <c r="C392" s="15">
        <v>0.8333333333333334</v>
      </c>
      <c r="D392" s="5" t="s">
        <v>1702</v>
      </c>
      <c r="E392" s="16" t="str">
        <f t="array" ref="E392">_xlfn.XLOOKUP(F392, Filmes!$D$2:$D$344, Filmes!$A$2:$A$344, "")</f>
        <v>124</v>
      </c>
      <c r="F392" s="7" t="s">
        <v>1729</v>
      </c>
      <c r="G392" s="17" t="s">
        <v>4133</v>
      </c>
      <c r="H392" s="17" t="s">
        <v>4134</v>
      </c>
      <c r="I392" s="19">
        <v>1.0</v>
      </c>
      <c r="J392" s="5"/>
      <c r="K392" s="5"/>
      <c r="L392" s="5"/>
      <c r="M392" s="5"/>
    </row>
    <row r="393" ht="15.75" customHeight="1">
      <c r="A393" s="14">
        <v>46297.0</v>
      </c>
      <c r="B393" s="5" t="s">
        <v>4135</v>
      </c>
      <c r="C393" s="15">
        <v>0.7916666666666666</v>
      </c>
      <c r="D393" s="5" t="s">
        <v>1702</v>
      </c>
      <c r="E393" s="16" t="str">
        <f t="array" ref="E393">_xlfn.XLOOKUP(F393, Filmes!$D$2:$D$344, Filmes!$A$2:$A$344, "")</f>
        <v>125</v>
      </c>
      <c r="F393" s="7" t="s">
        <v>1744</v>
      </c>
      <c r="G393" s="17" t="s">
        <v>4139</v>
      </c>
      <c r="H393" s="17" t="s">
        <v>4140</v>
      </c>
      <c r="I393" s="19">
        <v>4.0</v>
      </c>
      <c r="J393" s="5"/>
      <c r="K393" s="5"/>
      <c r="L393" s="5" t="s">
        <v>65</v>
      </c>
      <c r="M393" s="5"/>
    </row>
    <row r="394" ht="15.75" customHeight="1">
      <c r="A394" s="14">
        <v>46299.0</v>
      </c>
      <c r="B394" s="5" t="s">
        <v>4136</v>
      </c>
      <c r="C394" s="15">
        <v>0.7083333333333334</v>
      </c>
      <c r="D394" s="5" t="s">
        <v>1702</v>
      </c>
      <c r="E394" s="16" t="str">
        <f t="array" ref="E394">_xlfn.XLOOKUP(F394, Filmes!$D$2:$D$344, Filmes!$A$2:$A$344, "")</f>
        <v>125</v>
      </c>
      <c r="F394" s="7" t="s">
        <v>1744</v>
      </c>
      <c r="G394" s="17" t="s">
        <v>4128</v>
      </c>
      <c r="H394" s="17" t="s">
        <v>4129</v>
      </c>
      <c r="I394" s="19">
        <v>2.0</v>
      </c>
      <c r="J394" s="5"/>
      <c r="K394" s="5"/>
      <c r="L394" s="5"/>
      <c r="M394" s="5"/>
    </row>
    <row r="395" ht="15.75" customHeight="1">
      <c r="A395" s="14">
        <v>46306.0</v>
      </c>
      <c r="B395" s="5" t="s">
        <v>4136</v>
      </c>
      <c r="C395" s="15">
        <v>0.8958333333333334</v>
      </c>
      <c r="D395" s="5" t="s">
        <v>1702</v>
      </c>
      <c r="E395" s="16" t="str">
        <f t="array" ref="E395">_xlfn.XLOOKUP(F395, Filmes!$D$2:$D$344, Filmes!$A$2:$A$344, "")</f>
        <v>125</v>
      </c>
      <c r="F395" s="7" t="s">
        <v>1744</v>
      </c>
      <c r="G395" s="17" t="s">
        <v>4130</v>
      </c>
      <c r="H395" s="17" t="s">
        <v>4131</v>
      </c>
      <c r="I395" s="19">
        <v>4.0</v>
      </c>
      <c r="J395" s="5"/>
      <c r="K395" s="5"/>
      <c r="L395" s="5"/>
      <c r="M395" s="5"/>
    </row>
    <row r="396" ht="15.75" customHeight="1">
      <c r="A396" s="14">
        <v>46304.0</v>
      </c>
      <c r="B396" s="5" t="s">
        <v>4135</v>
      </c>
      <c r="C396" s="15">
        <v>0.875</v>
      </c>
      <c r="D396" s="5" t="s">
        <v>1702</v>
      </c>
      <c r="E396" s="16" t="str">
        <f t="array" ref="E396">_xlfn.XLOOKUP(F396, Filmes!$D$2:$D$344, Filmes!$A$2:$A$344, "")</f>
        <v>126</v>
      </c>
      <c r="F396" s="7" t="s">
        <v>1760</v>
      </c>
      <c r="G396" s="17" t="s">
        <v>4130</v>
      </c>
      <c r="H396" s="17" t="s">
        <v>4131</v>
      </c>
      <c r="I396" s="19">
        <v>6.0</v>
      </c>
      <c r="J396" s="5"/>
      <c r="K396" s="5"/>
      <c r="L396" s="5" t="s">
        <v>65</v>
      </c>
      <c r="M396" s="5"/>
    </row>
    <row r="397" ht="15.75" customHeight="1">
      <c r="A397" s="14">
        <v>46306.0</v>
      </c>
      <c r="B397" s="5" t="s">
        <v>4136</v>
      </c>
      <c r="C397" s="15">
        <v>0.6666666666666666</v>
      </c>
      <c r="D397" s="5" t="s">
        <v>1702</v>
      </c>
      <c r="E397" s="16" t="str">
        <f t="array" ref="E397">_xlfn.XLOOKUP(F397, Filmes!$D$2:$D$344, Filmes!$A$2:$A$344, "")</f>
        <v>126</v>
      </c>
      <c r="F397" s="7" t="s">
        <v>1760</v>
      </c>
      <c r="G397" s="17" t="s">
        <v>4128</v>
      </c>
      <c r="H397" s="17" t="s">
        <v>4129</v>
      </c>
      <c r="I397" s="19">
        <v>3.0</v>
      </c>
      <c r="J397" s="5"/>
      <c r="K397" s="5"/>
      <c r="L397" s="5"/>
      <c r="M397" s="5"/>
    </row>
    <row r="398" ht="15.75" customHeight="1">
      <c r="A398" s="14">
        <v>46308.0</v>
      </c>
      <c r="B398" s="5" t="s">
        <v>4121</v>
      </c>
      <c r="C398" s="15">
        <v>0.6979166666666666</v>
      </c>
      <c r="D398" s="5" t="s">
        <v>1702</v>
      </c>
      <c r="E398" s="16" t="str">
        <f t="array" ref="E398">_xlfn.XLOOKUP(F398, Filmes!$D$2:$D$344, Filmes!$A$2:$A$344, "")</f>
        <v>126</v>
      </c>
      <c r="F398" s="7" t="s">
        <v>1760</v>
      </c>
      <c r="G398" s="17" t="s">
        <v>4139</v>
      </c>
      <c r="H398" s="17" t="s">
        <v>4140</v>
      </c>
      <c r="I398" s="19">
        <v>5.0</v>
      </c>
      <c r="J398" s="5"/>
      <c r="K398" s="5"/>
      <c r="L398" s="5"/>
      <c r="M398" s="5"/>
    </row>
    <row r="399" ht="15.75" customHeight="1">
      <c r="A399" s="14">
        <v>46297.0</v>
      </c>
      <c r="B399" s="5" t="s">
        <v>4135</v>
      </c>
      <c r="C399" s="15">
        <v>0.8333333333333334</v>
      </c>
      <c r="D399" s="5" t="s">
        <v>1702</v>
      </c>
      <c r="E399" s="16" t="str">
        <f t="array" ref="E399">_xlfn.XLOOKUP(F399, Filmes!$D$2:$D$344, Filmes!$A$2:$A$344, "")</f>
        <v>127</v>
      </c>
      <c r="F399" s="7" t="s">
        <v>1772</v>
      </c>
      <c r="G399" s="17" t="s">
        <v>4141</v>
      </c>
      <c r="H399" s="17" t="s">
        <v>4142</v>
      </c>
      <c r="I399" s="18"/>
      <c r="J399" s="5"/>
      <c r="K399" s="5"/>
      <c r="L399" s="5"/>
      <c r="M399" s="5"/>
    </row>
    <row r="400" ht="15.75" customHeight="1">
      <c r="A400" s="14">
        <v>46300.0</v>
      </c>
      <c r="B400" s="5" t="s">
        <v>4132</v>
      </c>
      <c r="C400" s="15">
        <v>0.7708333333333334</v>
      </c>
      <c r="D400" s="5" t="s">
        <v>1702</v>
      </c>
      <c r="E400" s="16" t="str">
        <f t="array" ref="E400">_xlfn.XLOOKUP(F400, Filmes!$D$2:$D$344, Filmes!$A$2:$A$344, "")</f>
        <v>127</v>
      </c>
      <c r="F400" s="7" t="s">
        <v>1772</v>
      </c>
      <c r="G400" s="17" t="s">
        <v>4139</v>
      </c>
      <c r="H400" s="17" t="s">
        <v>4140</v>
      </c>
      <c r="I400" s="19">
        <v>3.0</v>
      </c>
      <c r="J400" s="5"/>
      <c r="K400" s="5"/>
      <c r="L400" s="5"/>
      <c r="M400" s="5"/>
    </row>
    <row r="401" ht="15.75" customHeight="1">
      <c r="A401" s="14">
        <v>46303.0</v>
      </c>
      <c r="B401" s="5" t="s">
        <v>4124</v>
      </c>
      <c r="C401" s="15">
        <v>0.6875</v>
      </c>
      <c r="D401" s="5" t="s">
        <v>1702</v>
      </c>
      <c r="E401" s="16" t="str">
        <f t="array" ref="E401">_xlfn.XLOOKUP(F401, Filmes!$D$2:$D$344, Filmes!$A$2:$A$344, "")</f>
        <v>127</v>
      </c>
      <c r="F401" s="7" t="s">
        <v>1772</v>
      </c>
      <c r="G401" s="17" t="s">
        <v>4130</v>
      </c>
      <c r="H401" s="17" t="s">
        <v>4131</v>
      </c>
      <c r="I401" s="19">
        <v>1.0</v>
      </c>
      <c r="J401" s="5"/>
      <c r="K401" s="5"/>
      <c r="L401" s="5"/>
      <c r="M401" s="5"/>
    </row>
    <row r="402" ht="15.75" customHeight="1">
      <c r="A402" s="14">
        <v>46298.0</v>
      </c>
      <c r="B402" s="5" t="s">
        <v>4127</v>
      </c>
      <c r="C402" s="15">
        <v>0.7916666666666666</v>
      </c>
      <c r="D402" s="5" t="s">
        <v>1702</v>
      </c>
      <c r="E402" s="16" t="str">
        <f t="array" ref="E402">_xlfn.XLOOKUP(F402, Filmes!$D$2:$D$344, Filmes!$A$2:$A$344, "")</f>
        <v>128</v>
      </c>
      <c r="F402" s="7" t="s">
        <v>1784</v>
      </c>
      <c r="G402" s="17" t="s">
        <v>4139</v>
      </c>
      <c r="H402" s="17" t="s">
        <v>4140</v>
      </c>
      <c r="I402" s="19">
        <v>5.0</v>
      </c>
      <c r="J402" s="5"/>
      <c r="K402" s="5"/>
      <c r="L402" s="5" t="s">
        <v>65</v>
      </c>
      <c r="M402" s="5"/>
    </row>
    <row r="403" ht="15.75" customHeight="1">
      <c r="A403" s="14">
        <v>46300.0</v>
      </c>
      <c r="B403" s="5" t="s">
        <v>4132</v>
      </c>
      <c r="C403" s="15">
        <v>0.5833333333333334</v>
      </c>
      <c r="D403" s="5" t="s">
        <v>1702</v>
      </c>
      <c r="E403" s="16" t="str">
        <f t="array" ref="E403">_xlfn.XLOOKUP(F403, Filmes!$D$2:$D$344, Filmes!$A$2:$A$344, "")</f>
        <v>128</v>
      </c>
      <c r="F403" s="7" t="s">
        <v>1784</v>
      </c>
      <c r="G403" s="17" t="s">
        <v>4133</v>
      </c>
      <c r="H403" s="17" t="s">
        <v>4134</v>
      </c>
      <c r="I403" s="19">
        <v>1.0</v>
      </c>
      <c r="J403" s="5"/>
      <c r="K403" s="5"/>
      <c r="L403" s="5"/>
      <c r="M403" s="5"/>
    </row>
    <row r="404" ht="15.75" customHeight="1">
      <c r="A404" s="14">
        <v>46303.0</v>
      </c>
      <c r="B404" s="5" t="s">
        <v>4124</v>
      </c>
      <c r="C404" s="15">
        <v>0.8958333333333334</v>
      </c>
      <c r="D404" s="5" t="s">
        <v>1702</v>
      </c>
      <c r="E404" s="16" t="str">
        <f t="array" ref="E404">_xlfn.XLOOKUP(F404, Filmes!$D$2:$D$344, Filmes!$A$2:$A$344, "")</f>
        <v>128</v>
      </c>
      <c r="F404" s="7" t="s">
        <v>1784</v>
      </c>
      <c r="G404" s="17" t="s">
        <v>4130</v>
      </c>
      <c r="H404" s="17" t="s">
        <v>4131</v>
      </c>
      <c r="I404" s="19">
        <v>1.0</v>
      </c>
      <c r="J404" s="5"/>
      <c r="K404" s="5"/>
      <c r="L404" s="5"/>
      <c r="M404" s="5"/>
    </row>
    <row r="405" ht="15.75" customHeight="1">
      <c r="A405" s="14">
        <v>46301.0</v>
      </c>
      <c r="B405" s="5" t="s">
        <v>4121</v>
      </c>
      <c r="C405" s="15">
        <v>0.78125</v>
      </c>
      <c r="D405" s="5" t="s">
        <v>1702</v>
      </c>
      <c r="E405" s="16" t="str">
        <f t="array" ref="E405">_xlfn.XLOOKUP(F405, Filmes!$D$2:$D$344, Filmes!$A$2:$A$344, "")</f>
        <v>129</v>
      </c>
      <c r="F405" s="7" t="s">
        <v>1799</v>
      </c>
      <c r="G405" s="17" t="s">
        <v>4130</v>
      </c>
      <c r="H405" s="17" t="s">
        <v>4131</v>
      </c>
      <c r="I405" s="19">
        <v>3.0</v>
      </c>
      <c r="J405" s="5"/>
      <c r="K405" s="5"/>
      <c r="L405" s="5" t="s">
        <v>65</v>
      </c>
      <c r="M405" s="5"/>
    </row>
    <row r="406" ht="15.75" customHeight="1">
      <c r="A406" s="14">
        <v>46303.0</v>
      </c>
      <c r="B406" s="5" t="s">
        <v>4124</v>
      </c>
      <c r="C406" s="15">
        <v>0.6875</v>
      </c>
      <c r="D406" s="5" t="s">
        <v>1702</v>
      </c>
      <c r="E406" s="16" t="str">
        <f t="array" ref="E406">_xlfn.XLOOKUP(F406, Filmes!$D$2:$D$344, Filmes!$A$2:$A$344, "")</f>
        <v>129</v>
      </c>
      <c r="F406" s="7" t="s">
        <v>1799</v>
      </c>
      <c r="G406" s="17" t="s">
        <v>4139</v>
      </c>
      <c r="H406" s="17" t="s">
        <v>4140</v>
      </c>
      <c r="I406" s="19">
        <v>4.0</v>
      </c>
      <c r="J406" s="5"/>
      <c r="K406" s="5"/>
      <c r="L406" s="5"/>
      <c r="M406" s="5"/>
    </row>
    <row r="407" ht="15.75" customHeight="1">
      <c r="A407" s="14">
        <v>46305.0</v>
      </c>
      <c r="B407" s="5" t="s">
        <v>4127</v>
      </c>
      <c r="C407" s="15">
        <v>0.8645833333333334</v>
      </c>
      <c r="D407" s="5" t="s">
        <v>1702</v>
      </c>
      <c r="E407" s="16" t="str">
        <f t="array" ref="E407">_xlfn.XLOOKUP(F407, Filmes!$D$2:$D$344, Filmes!$A$2:$A$344, "")</f>
        <v>129</v>
      </c>
      <c r="F407" s="7" t="s">
        <v>1799</v>
      </c>
      <c r="G407" s="17" t="s">
        <v>4128</v>
      </c>
      <c r="H407" s="17" t="s">
        <v>4129</v>
      </c>
      <c r="I407" s="19">
        <v>3.0</v>
      </c>
      <c r="J407" s="5"/>
      <c r="K407" s="5"/>
      <c r="L407" s="5"/>
      <c r="M407" s="5"/>
    </row>
    <row r="408" ht="15.75" customHeight="1">
      <c r="A408" s="14">
        <v>46296.0</v>
      </c>
      <c r="B408" s="5" t="s">
        <v>4124</v>
      </c>
      <c r="C408" s="15">
        <v>0.875</v>
      </c>
      <c r="D408" s="5" t="s">
        <v>1702</v>
      </c>
      <c r="E408" s="16" t="str">
        <f t="array" ref="E408">_xlfn.XLOOKUP(F408, Filmes!$D$2:$D$344, Filmes!$A$2:$A$344, "")</f>
        <v>130</v>
      </c>
      <c r="F408" s="7" t="s">
        <v>1814</v>
      </c>
      <c r="G408" s="17" t="s">
        <v>4139</v>
      </c>
      <c r="H408" s="17" t="s">
        <v>4140</v>
      </c>
      <c r="I408" s="19">
        <v>4.0</v>
      </c>
      <c r="J408" s="5"/>
      <c r="K408" s="5"/>
      <c r="L408" s="5"/>
      <c r="M408" s="5"/>
    </row>
    <row r="409" ht="15.75" customHeight="1">
      <c r="A409" s="14">
        <v>46299.0</v>
      </c>
      <c r="B409" s="5" t="s">
        <v>4136</v>
      </c>
      <c r="C409" s="15">
        <v>0.6666666666666666</v>
      </c>
      <c r="D409" s="5" t="s">
        <v>1702</v>
      </c>
      <c r="E409" s="16" t="str">
        <f t="array" ref="E409">_xlfn.XLOOKUP(F409, Filmes!$D$2:$D$344, Filmes!$A$2:$A$344, "")</f>
        <v>130</v>
      </c>
      <c r="F409" s="7" t="s">
        <v>1814</v>
      </c>
      <c r="G409" s="17" t="s">
        <v>4133</v>
      </c>
      <c r="H409" s="17" t="s">
        <v>4134</v>
      </c>
      <c r="I409" s="19">
        <v>2.0</v>
      </c>
      <c r="J409" s="5"/>
      <c r="K409" s="5"/>
      <c r="L409" s="5"/>
      <c r="M409" s="5"/>
    </row>
    <row r="410" ht="15.75" customHeight="1">
      <c r="A410" s="14">
        <v>46306.0</v>
      </c>
      <c r="B410" s="5" t="s">
        <v>4136</v>
      </c>
      <c r="C410" s="15">
        <v>0.7708333333333334</v>
      </c>
      <c r="D410" s="5" t="s">
        <v>1702</v>
      </c>
      <c r="E410" s="16" t="str">
        <f t="array" ref="E410">_xlfn.XLOOKUP(F410, Filmes!$D$2:$D$344, Filmes!$A$2:$A$344, "")</f>
        <v>130</v>
      </c>
      <c r="F410" s="7" t="s">
        <v>1814</v>
      </c>
      <c r="G410" s="17" t="s">
        <v>4130</v>
      </c>
      <c r="H410" s="17" t="s">
        <v>4131</v>
      </c>
      <c r="I410" s="19">
        <v>2.0</v>
      </c>
      <c r="J410" s="5"/>
      <c r="K410" s="5"/>
      <c r="L410" s="5"/>
      <c r="M410" s="5"/>
    </row>
    <row r="411" ht="15.75" customHeight="1">
      <c r="A411" s="14">
        <v>46297.0</v>
      </c>
      <c r="B411" s="5" t="s">
        <v>4135</v>
      </c>
      <c r="C411" s="15">
        <v>0.5833333333333334</v>
      </c>
      <c r="D411" s="5" t="s">
        <v>1702</v>
      </c>
      <c r="E411" s="16" t="str">
        <f t="array" ref="E411">_xlfn.XLOOKUP(F411, Filmes!$D$2:$D$344, Filmes!$A$2:$A$344, "")</f>
        <v>131</v>
      </c>
      <c r="F411" s="7" t="s">
        <v>1826</v>
      </c>
      <c r="G411" s="17" t="s">
        <v>4133</v>
      </c>
      <c r="H411" s="17" t="s">
        <v>4134</v>
      </c>
      <c r="I411" s="19">
        <v>1.0</v>
      </c>
      <c r="J411" s="5"/>
      <c r="K411" s="5"/>
      <c r="L411" s="5"/>
      <c r="M411" s="5"/>
    </row>
    <row r="412" ht="15.75" customHeight="1">
      <c r="A412" s="14">
        <v>46300.0</v>
      </c>
      <c r="B412" s="5" t="s">
        <v>4132</v>
      </c>
      <c r="C412" s="15">
        <v>0.7604166666666666</v>
      </c>
      <c r="D412" s="5" t="s">
        <v>1702</v>
      </c>
      <c r="E412" s="16" t="str">
        <f t="array" ref="E412">_xlfn.XLOOKUP(F412, Filmes!$D$2:$D$344, Filmes!$A$2:$A$344, "")</f>
        <v>131</v>
      </c>
      <c r="F412" s="7" t="s">
        <v>1826</v>
      </c>
      <c r="G412" s="17" t="s">
        <v>4128</v>
      </c>
      <c r="H412" s="17" t="s">
        <v>4129</v>
      </c>
      <c r="I412" s="19">
        <v>3.0</v>
      </c>
      <c r="J412" s="5"/>
      <c r="K412" s="5"/>
      <c r="L412" s="5"/>
      <c r="M412" s="5"/>
    </row>
    <row r="413" ht="15.75" customHeight="1">
      <c r="A413" s="14">
        <v>46305.0</v>
      </c>
      <c r="B413" s="5" t="s">
        <v>4127</v>
      </c>
      <c r="C413" s="15">
        <v>0.6770833333333334</v>
      </c>
      <c r="D413" s="5" t="s">
        <v>1702</v>
      </c>
      <c r="E413" s="16" t="str">
        <f t="array" ref="E413">_xlfn.XLOOKUP(F413, Filmes!$D$2:$D$344, Filmes!$A$2:$A$344, "")</f>
        <v>131</v>
      </c>
      <c r="F413" s="7" t="s">
        <v>1826</v>
      </c>
      <c r="G413" s="17" t="s">
        <v>4130</v>
      </c>
      <c r="H413" s="17" t="s">
        <v>4131</v>
      </c>
      <c r="I413" s="19">
        <v>5.0</v>
      </c>
      <c r="J413" s="5"/>
      <c r="K413" s="5"/>
      <c r="L413" s="5"/>
      <c r="M413" s="5"/>
    </row>
    <row r="414" ht="15.75" customHeight="1">
      <c r="A414" s="14">
        <v>46298.0</v>
      </c>
      <c r="B414" s="5" t="s">
        <v>4127</v>
      </c>
      <c r="C414" s="15">
        <v>0.8958333333333334</v>
      </c>
      <c r="D414" s="5" t="s">
        <v>1702</v>
      </c>
      <c r="E414" s="16" t="str">
        <f t="array" ref="E414">_xlfn.XLOOKUP(F414, Filmes!$D$2:$D$344, Filmes!$A$2:$A$344, "")</f>
        <v>132</v>
      </c>
      <c r="F414" s="7" t="s">
        <v>1840</v>
      </c>
      <c r="G414" s="17" t="s">
        <v>4125</v>
      </c>
      <c r="H414" s="17" t="s">
        <v>4126</v>
      </c>
      <c r="I414" s="19">
        <v>2.0</v>
      </c>
      <c r="J414" s="5"/>
      <c r="K414" s="5"/>
      <c r="L414" s="5"/>
      <c r="M414" s="5"/>
    </row>
    <row r="415" ht="15.75" customHeight="1">
      <c r="A415" s="14">
        <v>46301.0</v>
      </c>
      <c r="B415" s="5" t="s">
        <v>4121</v>
      </c>
      <c r="C415" s="15">
        <v>0.7708333333333334</v>
      </c>
      <c r="D415" s="5" t="s">
        <v>1702</v>
      </c>
      <c r="E415" s="16" t="str">
        <f t="array" ref="E415">_xlfn.XLOOKUP(F415, Filmes!$D$2:$D$344, Filmes!$A$2:$A$344, "")</f>
        <v>132</v>
      </c>
      <c r="F415" s="7" t="s">
        <v>1840</v>
      </c>
      <c r="G415" s="17" t="s">
        <v>4130</v>
      </c>
      <c r="H415" s="17" t="s">
        <v>4131</v>
      </c>
      <c r="I415" s="19">
        <v>2.0</v>
      </c>
      <c r="J415" s="5"/>
      <c r="K415" s="5"/>
      <c r="L415" s="5"/>
      <c r="M415" s="5"/>
    </row>
    <row r="416" ht="15.75" customHeight="1">
      <c r="A416" s="14">
        <v>46303.0</v>
      </c>
      <c r="B416" s="5" t="s">
        <v>4124</v>
      </c>
      <c r="C416" s="15">
        <v>0.6979166666666666</v>
      </c>
      <c r="D416" s="5" t="s">
        <v>1702</v>
      </c>
      <c r="E416" s="16" t="str">
        <f t="array" ref="E416">_xlfn.XLOOKUP(F416, Filmes!$D$2:$D$344, Filmes!$A$2:$A$344, "")</f>
        <v>132</v>
      </c>
      <c r="F416" s="7" t="s">
        <v>1840</v>
      </c>
      <c r="G416" s="17" t="s">
        <v>4128</v>
      </c>
      <c r="H416" s="17" t="s">
        <v>4129</v>
      </c>
      <c r="I416" s="19">
        <v>2.0</v>
      </c>
      <c r="J416" s="5"/>
      <c r="K416" s="5"/>
      <c r="L416" s="5"/>
      <c r="M416" s="5"/>
    </row>
    <row r="417" ht="15.75" customHeight="1">
      <c r="A417" s="14">
        <v>46303.0</v>
      </c>
      <c r="B417" s="5" t="s">
        <v>4124</v>
      </c>
      <c r="C417" s="15">
        <v>0.8645833333333334</v>
      </c>
      <c r="D417" s="5" t="s">
        <v>1702</v>
      </c>
      <c r="E417" s="16" t="str">
        <f t="array" ref="E417">_xlfn.XLOOKUP(F417, Filmes!$D$2:$D$344, Filmes!$A$2:$A$344, "")</f>
        <v>133</v>
      </c>
      <c r="F417" s="7" t="s">
        <v>1854</v>
      </c>
      <c r="G417" s="17" t="s">
        <v>4139</v>
      </c>
      <c r="H417" s="17" t="s">
        <v>4140</v>
      </c>
      <c r="I417" s="19">
        <v>3.0</v>
      </c>
      <c r="J417" s="5"/>
      <c r="K417" s="5"/>
      <c r="L417" s="5" t="s">
        <v>65</v>
      </c>
      <c r="M417" s="5"/>
    </row>
    <row r="418" ht="15.75" customHeight="1">
      <c r="A418" s="14">
        <v>46304.0</v>
      </c>
      <c r="B418" s="5" t="s">
        <v>4135</v>
      </c>
      <c r="C418" s="15">
        <v>0.5625</v>
      </c>
      <c r="D418" s="5" t="s">
        <v>1702</v>
      </c>
      <c r="E418" s="16" t="str">
        <f t="array" ref="E418">_xlfn.XLOOKUP(F418, Filmes!$D$2:$D$344, Filmes!$A$2:$A$344, "")</f>
        <v>133</v>
      </c>
      <c r="F418" s="7" t="s">
        <v>1854</v>
      </c>
      <c r="G418" s="17" t="s">
        <v>4130</v>
      </c>
      <c r="H418" s="17" t="s">
        <v>4131</v>
      </c>
      <c r="I418" s="19">
        <v>2.0</v>
      </c>
      <c r="J418" s="5"/>
      <c r="K418" s="5"/>
      <c r="L418" s="5"/>
      <c r="M418" s="5"/>
    </row>
    <row r="419" ht="15.75" customHeight="1">
      <c r="A419" s="14">
        <v>46306.0</v>
      </c>
      <c r="B419" s="5" t="s">
        <v>4136</v>
      </c>
      <c r="C419" s="15">
        <v>0.8020833333333334</v>
      </c>
      <c r="D419" s="5" t="s">
        <v>1702</v>
      </c>
      <c r="E419" s="16" t="str">
        <f t="array" ref="E419">_xlfn.XLOOKUP(F419, Filmes!$D$2:$D$344, Filmes!$A$2:$A$344, "")</f>
        <v>133</v>
      </c>
      <c r="F419" s="7" t="s">
        <v>1854</v>
      </c>
      <c r="G419" s="17" t="s">
        <v>4128</v>
      </c>
      <c r="H419" s="17" t="s">
        <v>4129</v>
      </c>
      <c r="I419" s="19">
        <v>5.0</v>
      </c>
      <c r="J419" s="5"/>
      <c r="K419" s="5"/>
      <c r="L419" s="5"/>
      <c r="M419" s="5"/>
    </row>
    <row r="420" ht="15.75" customHeight="1">
      <c r="A420" s="14">
        <v>46296.0</v>
      </c>
      <c r="B420" s="5" t="s">
        <v>4124</v>
      </c>
      <c r="C420" s="15">
        <v>0.7708333333333334</v>
      </c>
      <c r="D420" s="5" t="s">
        <v>1702</v>
      </c>
      <c r="E420" s="16" t="str">
        <f t="array" ref="E420">_xlfn.XLOOKUP(F420, Filmes!$D$2:$D$344, Filmes!$A$2:$A$344, "")</f>
        <v>134</v>
      </c>
      <c r="F420" s="7" t="s">
        <v>1862</v>
      </c>
      <c r="G420" s="17" t="s">
        <v>4139</v>
      </c>
      <c r="H420" s="17" t="s">
        <v>4140</v>
      </c>
      <c r="I420" s="19">
        <v>3.0</v>
      </c>
      <c r="J420" s="5"/>
      <c r="K420" s="5"/>
      <c r="L420" s="5"/>
      <c r="M420" s="5"/>
    </row>
    <row r="421" ht="15.75" customHeight="1">
      <c r="A421" s="14">
        <v>46298.0</v>
      </c>
      <c r="B421" s="5" t="s">
        <v>4127</v>
      </c>
      <c r="C421" s="15">
        <v>0.6770833333333334</v>
      </c>
      <c r="D421" s="5" t="s">
        <v>1702</v>
      </c>
      <c r="E421" s="16" t="str">
        <f t="array" ref="E421">_xlfn.XLOOKUP(F421, Filmes!$D$2:$D$344, Filmes!$A$2:$A$344, "")</f>
        <v>134</v>
      </c>
      <c r="F421" s="7" t="s">
        <v>1862</v>
      </c>
      <c r="G421" s="17" t="s">
        <v>4130</v>
      </c>
      <c r="H421" s="17" t="s">
        <v>4131</v>
      </c>
      <c r="I421" s="19">
        <v>5.0</v>
      </c>
      <c r="J421" s="5"/>
      <c r="K421" s="5"/>
      <c r="L421" s="5"/>
      <c r="M421" s="5"/>
    </row>
    <row r="422" ht="15.75" customHeight="1">
      <c r="A422" s="14">
        <v>46302.0</v>
      </c>
      <c r="B422" s="5" t="s">
        <v>4143</v>
      </c>
      <c r="C422" s="15">
        <v>0.8333333333333334</v>
      </c>
      <c r="D422" s="5" t="s">
        <v>1702</v>
      </c>
      <c r="E422" s="16" t="str">
        <f t="array" ref="E422">_xlfn.XLOOKUP(F422, Filmes!$D$2:$D$344, Filmes!$A$2:$A$344, "")</f>
        <v>134</v>
      </c>
      <c r="F422" s="7" t="s">
        <v>1862</v>
      </c>
      <c r="G422" s="17" t="s">
        <v>4141</v>
      </c>
      <c r="H422" s="17" t="s">
        <v>4142</v>
      </c>
      <c r="I422" s="18"/>
      <c r="J422" s="5"/>
      <c r="K422" s="5"/>
      <c r="L422" s="5"/>
      <c r="M422" s="5"/>
    </row>
    <row r="423" ht="15.75" customHeight="1">
      <c r="A423" s="14">
        <v>46296.0</v>
      </c>
      <c r="B423" s="5" t="s">
        <v>4124</v>
      </c>
      <c r="C423" s="15">
        <v>0.7708333333333334</v>
      </c>
      <c r="D423" s="5" t="s">
        <v>1702</v>
      </c>
      <c r="E423" s="16" t="str">
        <f t="array" ref="E423">_xlfn.XLOOKUP(F423, Filmes!$D$2:$D$344, Filmes!$A$2:$A$344, "")</f>
        <v>135</v>
      </c>
      <c r="F423" s="7" t="s">
        <v>1877</v>
      </c>
      <c r="G423" s="17" t="s">
        <v>4130</v>
      </c>
      <c r="H423" s="17" t="s">
        <v>4131</v>
      </c>
      <c r="I423" s="19">
        <v>2.0</v>
      </c>
      <c r="J423" s="5"/>
      <c r="K423" s="5"/>
      <c r="L423" s="5"/>
      <c r="M423" s="5"/>
    </row>
    <row r="424" ht="15.75" customHeight="1">
      <c r="A424" s="14">
        <v>46298.0</v>
      </c>
      <c r="B424" s="5" t="s">
        <v>4127</v>
      </c>
      <c r="C424" s="15">
        <v>0.65625</v>
      </c>
      <c r="D424" s="5" t="s">
        <v>1702</v>
      </c>
      <c r="E424" s="16" t="str">
        <f t="array" ref="E424">_xlfn.XLOOKUP(F424, Filmes!$D$2:$D$344, Filmes!$A$2:$A$344, "")</f>
        <v>135</v>
      </c>
      <c r="F424" s="7" t="s">
        <v>1877</v>
      </c>
      <c r="G424" s="17" t="s">
        <v>4133</v>
      </c>
      <c r="H424" s="17" t="s">
        <v>4134</v>
      </c>
      <c r="I424" s="19">
        <v>2.0</v>
      </c>
      <c r="J424" s="5"/>
      <c r="K424" s="5"/>
      <c r="L424" s="5"/>
      <c r="M424" s="5"/>
    </row>
    <row r="425" ht="15.75" customHeight="1">
      <c r="A425" s="14">
        <v>46301.0</v>
      </c>
      <c r="B425" s="5" t="s">
        <v>4121</v>
      </c>
      <c r="C425" s="15">
        <v>0.7916666666666666</v>
      </c>
      <c r="D425" s="5" t="s">
        <v>1702</v>
      </c>
      <c r="E425" s="16" t="str">
        <f t="array" ref="E425">_xlfn.XLOOKUP(F425, Filmes!$D$2:$D$344, Filmes!$A$2:$A$344, "")</f>
        <v>135</v>
      </c>
      <c r="F425" s="7" t="s">
        <v>1877</v>
      </c>
      <c r="G425" s="17" t="s">
        <v>4137</v>
      </c>
      <c r="H425" s="17" t="s">
        <v>4138</v>
      </c>
      <c r="I425" s="19">
        <v>1.0</v>
      </c>
      <c r="J425" s="5"/>
      <c r="K425" s="5"/>
      <c r="L425" s="5"/>
      <c r="M425" s="5"/>
    </row>
    <row r="426" ht="15.75" customHeight="1">
      <c r="A426" s="14">
        <v>46304.0</v>
      </c>
      <c r="B426" s="5" t="s">
        <v>4135</v>
      </c>
      <c r="C426" s="15">
        <v>0.6875</v>
      </c>
      <c r="D426" s="5" t="s">
        <v>1702</v>
      </c>
      <c r="E426" s="16" t="str">
        <f t="array" ref="E426">_xlfn.XLOOKUP(F426, Filmes!$D$2:$D$344, Filmes!$A$2:$A$344, "")</f>
        <v>135</v>
      </c>
      <c r="F426" s="7" t="s">
        <v>1877</v>
      </c>
      <c r="G426" s="17" t="s">
        <v>4128</v>
      </c>
      <c r="H426" s="17" t="s">
        <v>4129</v>
      </c>
      <c r="I426" s="19">
        <v>1.0</v>
      </c>
      <c r="J426" s="5"/>
      <c r="K426" s="5"/>
      <c r="L426" s="5"/>
      <c r="M426" s="5"/>
    </row>
    <row r="427" ht="15.75" customHeight="1">
      <c r="A427" s="14">
        <v>46296.0</v>
      </c>
      <c r="B427" s="5" t="s">
        <v>4124</v>
      </c>
      <c r="C427" s="15">
        <v>0.8645833333333334</v>
      </c>
      <c r="D427" s="5" t="s">
        <v>1702</v>
      </c>
      <c r="E427" s="16" t="str">
        <f t="array" ref="E427">_xlfn.XLOOKUP(F427, Filmes!$D$2:$D$344, Filmes!$A$2:$A$344, "")</f>
        <v>136</v>
      </c>
      <c r="F427" s="7" t="s">
        <v>1891</v>
      </c>
      <c r="G427" s="17" t="s">
        <v>4139</v>
      </c>
      <c r="H427" s="17" t="s">
        <v>4140</v>
      </c>
      <c r="I427" s="19">
        <v>3.0</v>
      </c>
      <c r="J427" s="5"/>
      <c r="K427" s="5"/>
      <c r="L427" s="5"/>
      <c r="M427" s="5"/>
    </row>
    <row r="428" ht="15.75" customHeight="1">
      <c r="A428" s="14">
        <v>46298.0</v>
      </c>
      <c r="B428" s="5" t="s">
        <v>4127</v>
      </c>
      <c r="C428" s="15">
        <v>0.6666666666666666</v>
      </c>
      <c r="D428" s="5" t="s">
        <v>1702</v>
      </c>
      <c r="E428" s="16" t="str">
        <f t="array" ref="E428">_xlfn.XLOOKUP(F428, Filmes!$D$2:$D$344, Filmes!$A$2:$A$344, "")</f>
        <v>136</v>
      </c>
      <c r="F428" s="7" t="s">
        <v>1891</v>
      </c>
      <c r="G428" s="17" t="s">
        <v>4133</v>
      </c>
      <c r="H428" s="17" t="s">
        <v>4134</v>
      </c>
      <c r="I428" s="19">
        <v>1.0</v>
      </c>
      <c r="J428" s="5"/>
      <c r="K428" s="5"/>
      <c r="L428" s="5"/>
      <c r="M428" s="5"/>
    </row>
    <row r="429" ht="15.75" customHeight="1">
      <c r="A429" s="14">
        <v>46300.0</v>
      </c>
      <c r="B429" s="5" t="s">
        <v>4132</v>
      </c>
      <c r="C429" s="15">
        <v>0.7916666666666666</v>
      </c>
      <c r="D429" s="5" t="s">
        <v>1702</v>
      </c>
      <c r="E429" s="16" t="str">
        <f t="array" ref="E429">_xlfn.XLOOKUP(F429, Filmes!$D$2:$D$344, Filmes!$A$2:$A$344, "")</f>
        <v>136</v>
      </c>
      <c r="F429" s="7" t="s">
        <v>1891</v>
      </c>
      <c r="G429" s="17" t="s">
        <v>4130</v>
      </c>
      <c r="H429" s="17" t="s">
        <v>4131</v>
      </c>
      <c r="I429" s="19">
        <v>1.0</v>
      </c>
      <c r="J429" s="5"/>
      <c r="K429" s="5"/>
      <c r="L429" s="5"/>
      <c r="M429" s="5"/>
    </row>
    <row r="430" ht="15.75" customHeight="1">
      <c r="A430" s="14">
        <v>46308.0</v>
      </c>
      <c r="B430" s="5" t="s">
        <v>4121</v>
      </c>
      <c r="C430" s="15">
        <v>0.8020833333333334</v>
      </c>
      <c r="D430" s="5" t="s">
        <v>1702</v>
      </c>
      <c r="E430" s="16" t="str">
        <f t="array" ref="E430">_xlfn.XLOOKUP(F430, Filmes!$D$2:$D$344, Filmes!$A$2:$A$344, "")</f>
        <v>136</v>
      </c>
      <c r="F430" s="7" t="s">
        <v>1891</v>
      </c>
      <c r="G430" s="17" t="s">
        <v>4139</v>
      </c>
      <c r="H430" s="17" t="s">
        <v>4140</v>
      </c>
      <c r="I430" s="19">
        <v>3.0</v>
      </c>
      <c r="J430" s="5"/>
      <c r="K430" s="5"/>
      <c r="L430" s="5"/>
      <c r="M430" s="5"/>
    </row>
    <row r="431" ht="15.75" customHeight="1">
      <c r="A431" s="14">
        <v>46297.0</v>
      </c>
      <c r="B431" s="5" t="s">
        <v>4135</v>
      </c>
      <c r="C431" s="15">
        <v>0.8645833333333334</v>
      </c>
      <c r="D431" s="5" t="s">
        <v>1702</v>
      </c>
      <c r="E431" s="16" t="str">
        <f t="array" ref="E431">_xlfn.XLOOKUP(F431, Filmes!$D$2:$D$344, Filmes!$A$2:$A$344, "")</f>
        <v>137</v>
      </c>
      <c r="F431" s="7" t="s">
        <v>1904</v>
      </c>
      <c r="G431" s="17" t="s">
        <v>4139</v>
      </c>
      <c r="H431" s="17" t="s">
        <v>4140</v>
      </c>
      <c r="I431" s="19">
        <v>3.0</v>
      </c>
      <c r="J431" s="5"/>
      <c r="K431" s="5"/>
      <c r="L431" s="5"/>
      <c r="M431" s="5"/>
    </row>
    <row r="432" ht="15.75" customHeight="1">
      <c r="A432" s="14">
        <v>46299.0</v>
      </c>
      <c r="B432" s="5" t="s">
        <v>4136</v>
      </c>
      <c r="C432" s="15">
        <v>0.7916666666666666</v>
      </c>
      <c r="D432" s="5" t="s">
        <v>1702</v>
      </c>
      <c r="E432" s="16" t="str">
        <f t="array" ref="E432">_xlfn.XLOOKUP(F432, Filmes!$D$2:$D$344, Filmes!$A$2:$A$344, "")</f>
        <v>137</v>
      </c>
      <c r="F432" s="7" t="s">
        <v>1904</v>
      </c>
      <c r="G432" s="17" t="s">
        <v>4130</v>
      </c>
      <c r="H432" s="17" t="s">
        <v>4131</v>
      </c>
      <c r="I432" s="19">
        <v>1.0</v>
      </c>
      <c r="J432" s="5"/>
      <c r="K432" s="5"/>
      <c r="L432" s="5"/>
      <c r="M432" s="5"/>
    </row>
    <row r="433" ht="15.75" customHeight="1">
      <c r="A433" s="14">
        <v>46305.0</v>
      </c>
      <c r="B433" s="5" t="s">
        <v>4127</v>
      </c>
      <c r="C433" s="15">
        <v>0.6770833333333334</v>
      </c>
      <c r="D433" s="5" t="s">
        <v>1702</v>
      </c>
      <c r="E433" s="16" t="str">
        <f t="array" ref="E433">_xlfn.XLOOKUP(F433, Filmes!$D$2:$D$344, Filmes!$A$2:$A$344, "")</f>
        <v>137</v>
      </c>
      <c r="F433" s="7" t="s">
        <v>1904</v>
      </c>
      <c r="G433" s="17" t="s">
        <v>4128</v>
      </c>
      <c r="H433" s="17" t="s">
        <v>4129</v>
      </c>
      <c r="I433" s="19">
        <v>3.0</v>
      </c>
      <c r="J433" s="5"/>
      <c r="K433" s="5"/>
      <c r="L433" s="5"/>
      <c r="M433" s="5"/>
    </row>
    <row r="434" ht="15.75" customHeight="1">
      <c r="A434" s="14">
        <v>46298.0</v>
      </c>
      <c r="B434" s="5" t="s">
        <v>4127</v>
      </c>
      <c r="C434" s="15">
        <v>0.8645833333333334</v>
      </c>
      <c r="D434" s="5" t="s">
        <v>1702</v>
      </c>
      <c r="E434" s="16" t="str">
        <f t="array" ref="E434">_xlfn.XLOOKUP(F434, Filmes!$D$2:$D$344, Filmes!$A$2:$A$344, "")</f>
        <v>138</v>
      </c>
      <c r="F434" s="7" t="s">
        <v>1916</v>
      </c>
      <c r="G434" s="17" t="s">
        <v>4128</v>
      </c>
      <c r="H434" s="17" t="s">
        <v>4129</v>
      </c>
      <c r="I434" s="19">
        <v>3.0</v>
      </c>
      <c r="J434" s="5"/>
      <c r="K434" s="5"/>
      <c r="L434" s="5"/>
      <c r="M434" s="5"/>
    </row>
    <row r="435" ht="15.75" customHeight="1">
      <c r="A435" s="14">
        <v>46300.0</v>
      </c>
      <c r="B435" s="5" t="s">
        <v>4132</v>
      </c>
      <c r="C435" s="15">
        <v>0.75</v>
      </c>
      <c r="D435" s="5" t="s">
        <v>1702</v>
      </c>
      <c r="E435" s="16" t="str">
        <f t="array" ref="E435">_xlfn.XLOOKUP(F435, Filmes!$D$2:$D$344, Filmes!$A$2:$A$344, "")</f>
        <v>138</v>
      </c>
      <c r="F435" s="7" t="s">
        <v>1916</v>
      </c>
      <c r="G435" s="17" t="s">
        <v>4133</v>
      </c>
      <c r="H435" s="17" t="s">
        <v>4134</v>
      </c>
      <c r="I435" s="19">
        <v>1.0</v>
      </c>
      <c r="J435" s="5"/>
      <c r="K435" s="5"/>
      <c r="L435" s="5"/>
      <c r="M435" s="5"/>
    </row>
    <row r="436" ht="15.75" customHeight="1">
      <c r="A436" s="14">
        <v>46304.0</v>
      </c>
      <c r="B436" s="5" t="s">
        <v>4135</v>
      </c>
      <c r="C436" s="15">
        <v>0.6770833333333334</v>
      </c>
      <c r="D436" s="5" t="s">
        <v>1702</v>
      </c>
      <c r="E436" s="16" t="str">
        <f t="array" ref="E436">_xlfn.XLOOKUP(F436, Filmes!$D$2:$D$344, Filmes!$A$2:$A$344, "")</f>
        <v>138</v>
      </c>
      <c r="F436" s="7" t="s">
        <v>1916</v>
      </c>
      <c r="G436" s="17" t="s">
        <v>4130</v>
      </c>
      <c r="H436" s="17" t="s">
        <v>4131</v>
      </c>
      <c r="I436" s="19">
        <v>5.0</v>
      </c>
      <c r="J436" s="5"/>
      <c r="K436" s="5"/>
      <c r="L436" s="5"/>
      <c r="M436" s="5"/>
    </row>
    <row r="437" ht="15.75" customHeight="1">
      <c r="A437" s="14">
        <v>46296.0</v>
      </c>
      <c r="B437" s="5" t="s">
        <v>4124</v>
      </c>
      <c r="C437" s="15">
        <v>0.78125</v>
      </c>
      <c r="D437" s="5" t="s">
        <v>1702</v>
      </c>
      <c r="E437" s="16" t="str">
        <f t="array" ref="E437">_xlfn.XLOOKUP(F437, Filmes!$D$2:$D$344, Filmes!$A$2:$A$344, "")</f>
        <v>139</v>
      </c>
      <c r="F437" s="7" t="s">
        <v>1928</v>
      </c>
      <c r="G437" s="17" t="s">
        <v>4128</v>
      </c>
      <c r="H437" s="17" t="s">
        <v>4129</v>
      </c>
      <c r="I437" s="19">
        <v>2.0</v>
      </c>
      <c r="J437" s="5"/>
      <c r="K437" s="5"/>
      <c r="L437" s="5"/>
      <c r="M437" s="5"/>
    </row>
    <row r="438" ht="15.75" customHeight="1">
      <c r="A438" s="14">
        <v>46298.0</v>
      </c>
      <c r="B438" s="5" t="s">
        <v>4127</v>
      </c>
      <c r="C438" s="15">
        <v>0.7083333333333334</v>
      </c>
      <c r="D438" s="5" t="s">
        <v>1702</v>
      </c>
      <c r="E438" s="16" t="str">
        <f t="array" ref="E438">_xlfn.XLOOKUP(F438, Filmes!$D$2:$D$344, Filmes!$A$2:$A$344, "")</f>
        <v>139</v>
      </c>
      <c r="F438" s="7" t="s">
        <v>1928</v>
      </c>
      <c r="G438" s="17" t="s">
        <v>4125</v>
      </c>
      <c r="H438" s="17" t="s">
        <v>4126</v>
      </c>
      <c r="I438" s="19">
        <v>2.0</v>
      </c>
      <c r="J438" s="5"/>
      <c r="K438" s="5"/>
      <c r="L438" s="5"/>
      <c r="M438" s="5"/>
    </row>
    <row r="439" ht="15.75" customHeight="1">
      <c r="A439" s="14">
        <v>46306.0</v>
      </c>
      <c r="B439" s="5" t="s">
        <v>4136</v>
      </c>
      <c r="C439" s="15">
        <v>0.8854166666666666</v>
      </c>
      <c r="D439" s="5" t="s">
        <v>1702</v>
      </c>
      <c r="E439" s="16" t="str">
        <f t="array" ref="E439">_xlfn.XLOOKUP(F439, Filmes!$D$2:$D$344, Filmes!$A$2:$A$344, "")</f>
        <v>139</v>
      </c>
      <c r="F439" s="7" t="s">
        <v>1928</v>
      </c>
      <c r="G439" s="17" t="s">
        <v>4130</v>
      </c>
      <c r="H439" s="17" t="s">
        <v>4131</v>
      </c>
      <c r="I439" s="19">
        <v>6.0</v>
      </c>
      <c r="J439" s="5"/>
      <c r="K439" s="5"/>
      <c r="L439" s="5"/>
      <c r="M439" s="5"/>
    </row>
    <row r="440" ht="15.75" customHeight="1">
      <c r="A440" s="14">
        <v>46304.0</v>
      </c>
      <c r="B440" s="5" t="s">
        <v>4135</v>
      </c>
      <c r="C440" s="15">
        <v>0.8958333333333334</v>
      </c>
      <c r="D440" s="5" t="s">
        <v>1702</v>
      </c>
      <c r="E440" s="16" t="str">
        <f t="array" ref="E440">_xlfn.XLOOKUP(F440, Filmes!$D$2:$D$344, Filmes!$A$2:$A$344, "")</f>
        <v>140</v>
      </c>
      <c r="F440" s="7" t="s">
        <v>1942</v>
      </c>
      <c r="G440" s="17" t="s">
        <v>4137</v>
      </c>
      <c r="H440" s="17" t="s">
        <v>4138</v>
      </c>
      <c r="I440" s="19">
        <v>1.0</v>
      </c>
      <c r="J440" s="5"/>
      <c r="K440" s="5"/>
      <c r="L440" s="5" t="s">
        <v>65</v>
      </c>
      <c r="M440" s="5"/>
    </row>
    <row r="441" ht="15.75" customHeight="1">
      <c r="A441" s="14">
        <v>46305.0</v>
      </c>
      <c r="B441" s="5" t="s">
        <v>4127</v>
      </c>
      <c r="C441" s="15">
        <v>0.7708333333333334</v>
      </c>
      <c r="D441" s="5" t="s">
        <v>1702</v>
      </c>
      <c r="E441" s="16" t="str">
        <f t="array" ref="E441">_xlfn.XLOOKUP(F441, Filmes!$D$2:$D$344, Filmes!$A$2:$A$344, "")</f>
        <v>140</v>
      </c>
      <c r="F441" s="7" t="s">
        <v>1942</v>
      </c>
      <c r="G441" s="17" t="s">
        <v>4130</v>
      </c>
      <c r="H441" s="17" t="s">
        <v>4131</v>
      </c>
      <c r="I441" s="19">
        <v>6.0</v>
      </c>
      <c r="J441" s="10"/>
      <c r="K441" s="5"/>
      <c r="L441" s="5" t="s">
        <v>65</v>
      </c>
      <c r="M441" s="5" t="s">
        <v>65</v>
      </c>
    </row>
    <row r="442" ht="15.75" customHeight="1">
      <c r="A442" s="14">
        <v>46309.0</v>
      </c>
      <c r="B442" s="5" t="s">
        <v>4143</v>
      </c>
      <c r="C442" s="15">
        <v>0.8645833333333334</v>
      </c>
      <c r="D442" s="5" t="s">
        <v>1702</v>
      </c>
      <c r="E442" s="16" t="str">
        <f t="array" ref="E442">_xlfn.XLOOKUP(F442, Filmes!$D$2:$D$344, Filmes!$A$2:$A$344, "")</f>
        <v>140</v>
      </c>
      <c r="F442" s="7" t="s">
        <v>1942</v>
      </c>
      <c r="G442" s="17" t="s">
        <v>4139</v>
      </c>
      <c r="H442" s="17" t="s">
        <v>4140</v>
      </c>
      <c r="I442" s="19">
        <v>3.0</v>
      </c>
      <c r="J442" s="5"/>
      <c r="K442" s="5"/>
      <c r="L442" s="5"/>
      <c r="M442" s="5"/>
    </row>
    <row r="443" ht="15.75" customHeight="1">
      <c r="A443" s="14">
        <v>46303.0</v>
      </c>
      <c r="B443" s="5" t="s">
        <v>4124</v>
      </c>
      <c r="C443" s="15">
        <v>0.8958333333333334</v>
      </c>
      <c r="D443" s="5" t="s">
        <v>1702</v>
      </c>
      <c r="E443" s="16" t="str">
        <f t="array" ref="E443">_xlfn.XLOOKUP(F443, Filmes!$D$2:$D$344, Filmes!$A$2:$A$344, "")</f>
        <v>141</v>
      </c>
      <c r="F443" s="7" t="s">
        <v>1956</v>
      </c>
      <c r="G443" s="17" t="s">
        <v>4130</v>
      </c>
      <c r="H443" s="17" t="s">
        <v>4131</v>
      </c>
      <c r="I443" s="19">
        <v>4.0</v>
      </c>
      <c r="J443" s="5"/>
      <c r="K443" s="5"/>
      <c r="L443" s="5" t="s">
        <v>65</v>
      </c>
      <c r="M443" s="5"/>
    </row>
    <row r="444" ht="15.75" customHeight="1">
      <c r="A444" s="14">
        <v>46306.0</v>
      </c>
      <c r="B444" s="5" t="s">
        <v>4136</v>
      </c>
      <c r="C444" s="15">
        <v>0.8645833333333334</v>
      </c>
      <c r="D444" s="5" t="s">
        <v>1702</v>
      </c>
      <c r="E444" s="16" t="str">
        <f t="array" ref="E444">_xlfn.XLOOKUP(F444, Filmes!$D$2:$D$344, Filmes!$A$2:$A$344, "")</f>
        <v>141</v>
      </c>
      <c r="F444" s="7" t="s">
        <v>1956</v>
      </c>
      <c r="G444" s="17" t="s">
        <v>4139</v>
      </c>
      <c r="H444" s="17" t="s">
        <v>4140</v>
      </c>
      <c r="I444" s="19">
        <v>3.0</v>
      </c>
      <c r="J444" s="5"/>
      <c r="K444" s="5"/>
      <c r="L444" s="5"/>
      <c r="M444" s="5"/>
    </row>
    <row r="445" ht="15.75" customHeight="1">
      <c r="A445" s="14">
        <v>46308.0</v>
      </c>
      <c r="B445" s="5" t="s">
        <v>4121</v>
      </c>
      <c r="C445" s="15">
        <v>0.6979166666666666</v>
      </c>
      <c r="D445" s="5" t="s">
        <v>1702</v>
      </c>
      <c r="E445" s="16" t="str">
        <f t="array" ref="E445">_xlfn.XLOOKUP(F445, Filmes!$D$2:$D$344, Filmes!$A$2:$A$344, "")</f>
        <v>141</v>
      </c>
      <c r="F445" s="7" t="s">
        <v>1956</v>
      </c>
      <c r="G445" s="17" t="s">
        <v>4128</v>
      </c>
      <c r="H445" s="17" t="s">
        <v>4129</v>
      </c>
      <c r="I445" s="19">
        <v>5.0</v>
      </c>
      <c r="J445" s="5"/>
      <c r="K445" s="5"/>
      <c r="L445" s="5"/>
      <c r="M445" s="5"/>
    </row>
    <row r="446" ht="15.75" customHeight="1">
      <c r="A446" s="14">
        <v>46304.0</v>
      </c>
      <c r="B446" s="5" t="s">
        <v>4135</v>
      </c>
      <c r="C446" s="15">
        <v>0.8854166666666666</v>
      </c>
      <c r="D446" s="5" t="s">
        <v>1702</v>
      </c>
      <c r="E446" s="16" t="str">
        <f t="array" ref="E446">_xlfn.XLOOKUP(F446, Filmes!$D$2:$D$344, Filmes!$A$2:$A$344, "")</f>
        <v>142</v>
      </c>
      <c r="F446" s="7" t="s">
        <v>1971</v>
      </c>
      <c r="G446" s="17" t="s">
        <v>4139</v>
      </c>
      <c r="H446" s="17" t="s">
        <v>4140</v>
      </c>
      <c r="I446" s="19">
        <v>4.0</v>
      </c>
      <c r="J446" s="5"/>
      <c r="K446" s="5"/>
      <c r="L446" s="5" t="s">
        <v>65</v>
      </c>
      <c r="M446" s="5"/>
    </row>
    <row r="447" ht="15.75" customHeight="1">
      <c r="A447" s="14">
        <v>46306.0</v>
      </c>
      <c r="B447" s="5" t="s">
        <v>4136</v>
      </c>
      <c r="C447" s="15">
        <v>0.6666666666666666</v>
      </c>
      <c r="D447" s="5" t="s">
        <v>1702</v>
      </c>
      <c r="E447" s="16" t="str">
        <f t="array" ref="E447">_xlfn.XLOOKUP(F447, Filmes!$D$2:$D$344, Filmes!$A$2:$A$344, "")</f>
        <v>142</v>
      </c>
      <c r="F447" s="7" t="s">
        <v>1971</v>
      </c>
      <c r="G447" s="17" t="s">
        <v>4130</v>
      </c>
      <c r="H447" s="17" t="s">
        <v>4131</v>
      </c>
      <c r="I447" s="19">
        <v>2.0</v>
      </c>
      <c r="J447" s="5"/>
      <c r="K447" s="5"/>
      <c r="L447" s="5"/>
      <c r="M447" s="5"/>
    </row>
    <row r="448" ht="15.75" customHeight="1">
      <c r="A448" s="14">
        <v>46308.0</v>
      </c>
      <c r="B448" s="5" t="s">
        <v>4121</v>
      </c>
      <c r="C448" s="15">
        <v>0.6145833333333334</v>
      </c>
      <c r="D448" s="5" t="s">
        <v>1702</v>
      </c>
      <c r="E448" s="16" t="str">
        <f t="array" ref="E448">_xlfn.XLOOKUP(F448, Filmes!$D$2:$D$344, Filmes!$A$2:$A$344, "")</f>
        <v>142</v>
      </c>
      <c r="F448" s="7" t="s">
        <v>1971</v>
      </c>
      <c r="G448" s="17" t="s">
        <v>4128</v>
      </c>
      <c r="H448" s="17" t="s">
        <v>4129</v>
      </c>
      <c r="I448" s="19">
        <v>5.0</v>
      </c>
      <c r="J448" s="5"/>
      <c r="K448" s="5"/>
      <c r="L448" s="5"/>
      <c r="M448" s="5"/>
    </row>
    <row r="449" ht="15.75" customHeight="1">
      <c r="A449" s="14">
        <v>46298.0</v>
      </c>
      <c r="B449" s="5" t="s">
        <v>4127</v>
      </c>
      <c r="C449" s="15">
        <v>0.8854166666666666</v>
      </c>
      <c r="D449" s="5" t="s">
        <v>1702</v>
      </c>
      <c r="E449" s="16" t="str">
        <f t="array" ref="E449">_xlfn.XLOOKUP(F449, Filmes!$D$2:$D$344, Filmes!$A$2:$A$344, "")</f>
        <v>143</v>
      </c>
      <c r="F449" s="7" t="s">
        <v>1982</v>
      </c>
      <c r="G449" s="17" t="s">
        <v>4130</v>
      </c>
      <c r="H449" s="17" t="s">
        <v>4131</v>
      </c>
      <c r="I449" s="19">
        <v>3.0</v>
      </c>
      <c r="J449" s="5"/>
      <c r="K449" s="5"/>
      <c r="L449" s="5" t="s">
        <v>65</v>
      </c>
      <c r="M449" s="5"/>
    </row>
    <row r="450" ht="15.75" customHeight="1">
      <c r="A450" s="14">
        <v>46300.0</v>
      </c>
      <c r="B450" s="5" t="s">
        <v>4132</v>
      </c>
      <c r="C450" s="15">
        <v>0.6979166666666666</v>
      </c>
      <c r="D450" s="5" t="s">
        <v>1702</v>
      </c>
      <c r="E450" s="16" t="str">
        <f t="array" ref="E450">_xlfn.XLOOKUP(F450, Filmes!$D$2:$D$344, Filmes!$A$2:$A$344, "")</f>
        <v>143</v>
      </c>
      <c r="F450" s="7" t="s">
        <v>1982</v>
      </c>
      <c r="G450" s="17" t="s">
        <v>4128</v>
      </c>
      <c r="H450" s="17" t="s">
        <v>4129</v>
      </c>
      <c r="I450" s="19">
        <v>2.0</v>
      </c>
      <c r="J450" s="5"/>
      <c r="K450" s="5"/>
      <c r="L450" s="5"/>
      <c r="M450" s="5"/>
    </row>
    <row r="451" ht="15.75" customHeight="1">
      <c r="A451" s="14">
        <v>46305.0</v>
      </c>
      <c r="B451" s="5" t="s">
        <v>4127</v>
      </c>
      <c r="C451" s="15">
        <v>0.6041666666666666</v>
      </c>
      <c r="D451" s="5" t="s">
        <v>1702</v>
      </c>
      <c r="E451" s="16" t="str">
        <f t="array" ref="E451">_xlfn.XLOOKUP(F451, Filmes!$D$2:$D$344, Filmes!$A$2:$A$344, "")</f>
        <v>143</v>
      </c>
      <c r="F451" s="7" t="s">
        <v>1982</v>
      </c>
      <c r="G451" s="17" t="s">
        <v>4139</v>
      </c>
      <c r="H451" s="17" t="s">
        <v>4140</v>
      </c>
      <c r="I451" s="19">
        <v>5.0</v>
      </c>
      <c r="J451" s="5"/>
      <c r="K451" s="5"/>
      <c r="L451" s="5"/>
      <c r="M451" s="5"/>
    </row>
    <row r="452" ht="15.75" customHeight="1">
      <c r="A452" s="14">
        <v>46297.0</v>
      </c>
      <c r="B452" s="5" t="s">
        <v>4135</v>
      </c>
      <c r="C452" s="15">
        <v>0.5729166666666666</v>
      </c>
      <c r="D452" s="5" t="s">
        <v>1702</v>
      </c>
      <c r="E452" s="16" t="str">
        <f t="array" ref="E452">_xlfn.XLOOKUP(F452, Filmes!$D$2:$D$344, Filmes!$A$2:$A$344, "")</f>
        <v>144</v>
      </c>
      <c r="F452" s="7" t="s">
        <v>1993</v>
      </c>
      <c r="G452" s="17" t="s">
        <v>4141</v>
      </c>
      <c r="H452" s="17" t="s">
        <v>4142</v>
      </c>
      <c r="I452" s="18"/>
      <c r="J452" s="5"/>
      <c r="K452" s="5"/>
      <c r="L452" s="5"/>
      <c r="M452" s="5"/>
    </row>
    <row r="453" ht="15.75" customHeight="1">
      <c r="A453" s="14">
        <v>46302.0</v>
      </c>
      <c r="B453" s="5" t="s">
        <v>4143</v>
      </c>
      <c r="C453" s="15">
        <v>0.875</v>
      </c>
      <c r="D453" s="5" t="s">
        <v>1702</v>
      </c>
      <c r="E453" s="16" t="str">
        <f t="array" ref="E453">_xlfn.XLOOKUP(F453, Filmes!$D$2:$D$344, Filmes!$A$2:$A$344, "")</f>
        <v>144</v>
      </c>
      <c r="F453" s="7" t="s">
        <v>1993</v>
      </c>
      <c r="G453" s="17" t="s">
        <v>4139</v>
      </c>
      <c r="H453" s="17" t="s">
        <v>4140</v>
      </c>
      <c r="I453" s="19">
        <v>3.0</v>
      </c>
      <c r="J453" s="5"/>
      <c r="K453" s="5"/>
      <c r="L453" s="5"/>
      <c r="M453" s="5"/>
    </row>
    <row r="454" ht="15.75" customHeight="1">
      <c r="A454" s="14">
        <v>46305.0</v>
      </c>
      <c r="B454" s="5" t="s">
        <v>4127</v>
      </c>
      <c r="C454" s="15">
        <v>0.6666666666666666</v>
      </c>
      <c r="D454" s="5" t="s">
        <v>1702</v>
      </c>
      <c r="E454" s="16" t="str">
        <f t="array" ref="E454">_xlfn.XLOOKUP(F454, Filmes!$D$2:$D$344, Filmes!$A$2:$A$344, "")</f>
        <v>144</v>
      </c>
      <c r="F454" s="7" t="s">
        <v>1993</v>
      </c>
      <c r="G454" s="17" t="s">
        <v>4130</v>
      </c>
      <c r="H454" s="17" t="s">
        <v>4131</v>
      </c>
      <c r="I454" s="19">
        <v>2.0</v>
      </c>
      <c r="J454" s="5"/>
      <c r="K454" s="5"/>
      <c r="L454" s="5"/>
      <c r="M454" s="5"/>
    </row>
    <row r="455" ht="15.75" customHeight="1">
      <c r="A455" s="14">
        <v>46297.0</v>
      </c>
      <c r="B455" s="5" t="s">
        <v>4135</v>
      </c>
      <c r="C455" s="15">
        <v>0.6666666666666666</v>
      </c>
      <c r="D455" s="5" t="s">
        <v>2007</v>
      </c>
      <c r="E455" s="16" t="str">
        <f t="array" ref="E455">_xlfn.XLOOKUP(F455, Filmes!$D$2:$D$344, Filmes!$A$2:$A$344, "")</f>
        <v>145</v>
      </c>
      <c r="F455" s="7" t="s">
        <v>2009</v>
      </c>
      <c r="G455" s="17" t="s">
        <v>4141</v>
      </c>
      <c r="H455" s="17" t="s">
        <v>4142</v>
      </c>
      <c r="I455" s="18"/>
      <c r="J455" s="5"/>
      <c r="K455" s="5"/>
      <c r="L455" s="5"/>
      <c r="M455" s="5"/>
    </row>
    <row r="456" ht="15.75" customHeight="1">
      <c r="A456" s="14">
        <v>46299.0</v>
      </c>
      <c r="B456" s="5" t="s">
        <v>4136</v>
      </c>
      <c r="C456" s="15">
        <v>0.8958333333333334</v>
      </c>
      <c r="D456" s="5" t="s">
        <v>2007</v>
      </c>
      <c r="E456" s="16" t="str">
        <f t="array" ref="E456">_xlfn.XLOOKUP(F456, Filmes!$D$2:$D$344, Filmes!$A$2:$A$344, "")</f>
        <v>145</v>
      </c>
      <c r="F456" s="7" t="s">
        <v>2009</v>
      </c>
      <c r="G456" s="17" t="s">
        <v>4130</v>
      </c>
      <c r="H456" s="17" t="s">
        <v>4131</v>
      </c>
      <c r="I456" s="19">
        <v>1.0</v>
      </c>
      <c r="J456" s="5"/>
      <c r="K456" s="5"/>
      <c r="L456" s="5"/>
      <c r="M456" s="5"/>
    </row>
    <row r="457" ht="15.75" customHeight="1">
      <c r="A457" s="14">
        <v>46302.0</v>
      </c>
      <c r="B457" s="5" t="s">
        <v>4143</v>
      </c>
      <c r="C457" s="15">
        <v>0.6041666666666666</v>
      </c>
      <c r="D457" s="5" t="s">
        <v>2007</v>
      </c>
      <c r="E457" s="16" t="str">
        <f t="array" ref="E457">_xlfn.XLOOKUP(F457, Filmes!$D$2:$D$344, Filmes!$A$2:$A$344, "")</f>
        <v>145</v>
      </c>
      <c r="F457" s="7" t="s">
        <v>2009</v>
      </c>
      <c r="G457" s="17" t="s">
        <v>4139</v>
      </c>
      <c r="H457" s="17" t="s">
        <v>4140</v>
      </c>
      <c r="I457" s="19">
        <v>5.0</v>
      </c>
      <c r="J457" s="5"/>
      <c r="K457" s="5"/>
      <c r="L457" s="5"/>
      <c r="M457" s="5"/>
    </row>
    <row r="458" ht="15.75" customHeight="1">
      <c r="A458" s="14">
        <v>46298.0</v>
      </c>
      <c r="B458" s="5" t="s">
        <v>4127</v>
      </c>
      <c r="C458" s="15">
        <v>0.78125</v>
      </c>
      <c r="D458" s="5" t="s">
        <v>2007</v>
      </c>
      <c r="E458" s="16" t="str">
        <f t="array" ref="E458">_xlfn.XLOOKUP(F458, Filmes!$D$2:$D$344, Filmes!$A$2:$A$344, "")</f>
        <v>146</v>
      </c>
      <c r="F458" s="7" t="s">
        <v>2022</v>
      </c>
      <c r="G458" s="17" t="s">
        <v>4130</v>
      </c>
      <c r="H458" s="17" t="s">
        <v>4131</v>
      </c>
      <c r="I458" s="19">
        <v>3.0</v>
      </c>
      <c r="J458" s="5"/>
      <c r="K458" s="5"/>
      <c r="L458" s="5"/>
      <c r="M458" s="5"/>
    </row>
    <row r="459" ht="15.75" customHeight="1">
      <c r="A459" s="14">
        <v>46300.0</v>
      </c>
      <c r="B459" s="5" t="s">
        <v>4132</v>
      </c>
      <c r="C459" s="15">
        <v>0.65625</v>
      </c>
      <c r="D459" s="5" t="s">
        <v>2007</v>
      </c>
      <c r="E459" s="16" t="str">
        <f t="array" ref="E459">_xlfn.XLOOKUP(F459, Filmes!$D$2:$D$344, Filmes!$A$2:$A$344, "")</f>
        <v>146</v>
      </c>
      <c r="F459" s="7" t="s">
        <v>2022</v>
      </c>
      <c r="G459" s="17" t="s">
        <v>4133</v>
      </c>
      <c r="H459" s="17" t="s">
        <v>4134</v>
      </c>
      <c r="I459" s="19">
        <v>2.0</v>
      </c>
      <c r="J459" s="5"/>
      <c r="K459" s="5"/>
      <c r="L459" s="5"/>
      <c r="M459" s="5"/>
    </row>
    <row r="460" ht="15.75" customHeight="1">
      <c r="A460" s="14">
        <v>46305.0</v>
      </c>
      <c r="B460" s="5" t="s">
        <v>4127</v>
      </c>
      <c r="C460" s="15">
        <v>0.8958333333333334</v>
      </c>
      <c r="D460" s="5" t="s">
        <v>2007</v>
      </c>
      <c r="E460" s="16" t="str">
        <f t="array" ref="E460">_xlfn.XLOOKUP(F460, Filmes!$D$2:$D$344, Filmes!$A$2:$A$344, "")</f>
        <v>146</v>
      </c>
      <c r="F460" s="7" t="s">
        <v>2022</v>
      </c>
      <c r="G460" s="17" t="s">
        <v>4128</v>
      </c>
      <c r="H460" s="17" t="s">
        <v>4129</v>
      </c>
      <c r="I460" s="19">
        <v>4.0</v>
      </c>
      <c r="J460" s="5"/>
      <c r="K460" s="5"/>
      <c r="L460" s="5"/>
      <c r="M460" s="5"/>
    </row>
    <row r="461" ht="15.75" customHeight="1">
      <c r="A461" s="14">
        <v>46296.0</v>
      </c>
      <c r="B461" s="5" t="s">
        <v>4124</v>
      </c>
      <c r="C461" s="15">
        <v>0.6666666666666666</v>
      </c>
      <c r="D461" s="5" t="s">
        <v>2007</v>
      </c>
      <c r="E461" s="16" t="str">
        <f t="array" ref="E461">_xlfn.XLOOKUP(F461, Filmes!$D$2:$D$344, Filmes!$A$2:$A$344, "")</f>
        <v>147</v>
      </c>
      <c r="F461" s="7" t="s">
        <v>2032</v>
      </c>
      <c r="G461" s="17" t="s">
        <v>4133</v>
      </c>
      <c r="H461" s="17" t="s">
        <v>4134</v>
      </c>
      <c r="I461" s="19">
        <v>1.0</v>
      </c>
      <c r="J461" s="5"/>
      <c r="K461" s="5"/>
      <c r="L461" s="5"/>
      <c r="M461" s="5"/>
    </row>
    <row r="462" ht="15.75" customHeight="1">
      <c r="A462" s="14">
        <v>46298.0</v>
      </c>
      <c r="B462" s="5" t="s">
        <v>4127</v>
      </c>
      <c r="C462" s="15">
        <v>0.6041666666666666</v>
      </c>
      <c r="D462" s="5" t="s">
        <v>2007</v>
      </c>
      <c r="E462" s="16" t="str">
        <f t="array" ref="E462">_xlfn.XLOOKUP(F462, Filmes!$D$2:$D$344, Filmes!$A$2:$A$344, "")</f>
        <v>147</v>
      </c>
      <c r="F462" s="7" t="s">
        <v>2032</v>
      </c>
      <c r="G462" s="17" t="s">
        <v>4139</v>
      </c>
      <c r="H462" s="17" t="s">
        <v>4140</v>
      </c>
      <c r="I462" s="19">
        <v>5.0</v>
      </c>
      <c r="J462" s="5"/>
      <c r="K462" s="5"/>
      <c r="L462" s="5"/>
      <c r="M462" s="5"/>
    </row>
    <row r="463" ht="15.75" customHeight="1">
      <c r="A463" s="14">
        <v>46306.0</v>
      </c>
      <c r="B463" s="5" t="s">
        <v>4136</v>
      </c>
      <c r="C463" s="15">
        <v>0.7916666666666666</v>
      </c>
      <c r="D463" s="5" t="s">
        <v>2007</v>
      </c>
      <c r="E463" s="16" t="str">
        <f t="array" ref="E463">_xlfn.XLOOKUP(F463, Filmes!$D$2:$D$344, Filmes!$A$2:$A$344, "")</f>
        <v>147</v>
      </c>
      <c r="F463" s="7" t="s">
        <v>2032</v>
      </c>
      <c r="G463" s="17" t="s">
        <v>4130</v>
      </c>
      <c r="H463" s="17" t="s">
        <v>4131</v>
      </c>
      <c r="I463" s="19">
        <v>1.0</v>
      </c>
      <c r="J463" s="5"/>
      <c r="K463" s="5"/>
      <c r="L463" s="5"/>
      <c r="M463" s="5"/>
    </row>
    <row r="464" ht="15.75" customHeight="1">
      <c r="A464" s="14">
        <v>46303.0</v>
      </c>
      <c r="B464" s="5" t="s">
        <v>4124</v>
      </c>
      <c r="C464" s="15">
        <v>0.7708333333333334</v>
      </c>
      <c r="D464" s="5" t="s">
        <v>2007</v>
      </c>
      <c r="E464" s="16" t="str">
        <f t="array" ref="E464">_xlfn.XLOOKUP(F464, Filmes!$D$2:$D$344, Filmes!$A$2:$A$344, "")</f>
        <v>148</v>
      </c>
      <c r="F464" s="7" t="s">
        <v>2042</v>
      </c>
      <c r="G464" s="17" t="s">
        <v>4130</v>
      </c>
      <c r="H464" s="17" t="s">
        <v>4131</v>
      </c>
      <c r="I464" s="19">
        <v>3.0</v>
      </c>
      <c r="J464" s="5"/>
      <c r="K464" s="5"/>
      <c r="L464" s="5" t="s">
        <v>65</v>
      </c>
      <c r="M464" s="5"/>
    </row>
    <row r="465" ht="15.75" customHeight="1">
      <c r="A465" s="14">
        <v>46305.0</v>
      </c>
      <c r="B465" s="5" t="s">
        <v>4127</v>
      </c>
      <c r="C465" s="15">
        <v>0.84375</v>
      </c>
      <c r="D465" s="5" t="s">
        <v>2007</v>
      </c>
      <c r="E465" s="16" t="str">
        <f t="array" ref="E465">_xlfn.XLOOKUP(F465, Filmes!$D$2:$D$344, Filmes!$A$2:$A$344, "")</f>
        <v>148</v>
      </c>
      <c r="F465" s="7" t="s">
        <v>2042</v>
      </c>
      <c r="G465" s="17" t="s">
        <v>4141</v>
      </c>
      <c r="H465" s="17" t="s">
        <v>4142</v>
      </c>
      <c r="I465" s="18"/>
      <c r="J465" s="5"/>
      <c r="K465" s="5"/>
      <c r="L465" s="5"/>
      <c r="M465" s="5"/>
    </row>
    <row r="466" ht="15.75" customHeight="1">
      <c r="A466" s="14">
        <v>46309.0</v>
      </c>
      <c r="B466" s="5" t="s">
        <v>4143</v>
      </c>
      <c r="C466" s="15">
        <v>0.6770833333333334</v>
      </c>
      <c r="D466" s="5" t="s">
        <v>2007</v>
      </c>
      <c r="E466" s="16" t="str">
        <f t="array" ref="E466">_xlfn.XLOOKUP(F466, Filmes!$D$2:$D$344, Filmes!$A$2:$A$344, "")</f>
        <v>148</v>
      </c>
      <c r="F466" s="7" t="s">
        <v>2042</v>
      </c>
      <c r="G466" s="17" t="s">
        <v>4139</v>
      </c>
      <c r="H466" s="17" t="s">
        <v>4140</v>
      </c>
      <c r="I466" s="19">
        <v>3.0</v>
      </c>
      <c r="J466" s="5"/>
      <c r="K466" s="5"/>
      <c r="L466" s="5"/>
      <c r="M466" s="5"/>
    </row>
    <row r="467" ht="15.75" customHeight="1">
      <c r="A467" s="14">
        <v>46296.0</v>
      </c>
      <c r="B467" s="5" t="s">
        <v>4124</v>
      </c>
      <c r="C467" s="15">
        <v>0.8958333333333334</v>
      </c>
      <c r="D467" s="5" t="s">
        <v>2007</v>
      </c>
      <c r="E467" s="16" t="str">
        <f t="array" ref="E467">_xlfn.XLOOKUP(F467, Filmes!$D$2:$D$344, Filmes!$A$2:$A$344, "")</f>
        <v>149</v>
      </c>
      <c r="F467" s="7" t="s">
        <v>2055</v>
      </c>
      <c r="G467" s="17" t="s">
        <v>4130</v>
      </c>
      <c r="H467" s="17" t="s">
        <v>4131</v>
      </c>
      <c r="I467" s="19">
        <v>1.0</v>
      </c>
      <c r="J467" s="5"/>
      <c r="K467" s="5"/>
      <c r="L467" s="5"/>
      <c r="M467" s="5"/>
    </row>
    <row r="468" ht="15.75" customHeight="1">
      <c r="A468" s="14">
        <v>46298.0</v>
      </c>
      <c r="B468" s="5" t="s">
        <v>4127</v>
      </c>
      <c r="C468" s="15">
        <v>0.5833333333333334</v>
      </c>
      <c r="D468" s="5" t="s">
        <v>2007</v>
      </c>
      <c r="E468" s="16" t="str">
        <f t="array" ref="E468">_xlfn.XLOOKUP(F468, Filmes!$D$2:$D$344, Filmes!$A$2:$A$344, "")</f>
        <v>149</v>
      </c>
      <c r="F468" s="7" t="s">
        <v>2055</v>
      </c>
      <c r="G468" s="17" t="s">
        <v>4133</v>
      </c>
      <c r="H468" s="17" t="s">
        <v>4134</v>
      </c>
      <c r="I468" s="19">
        <v>1.0</v>
      </c>
      <c r="J468" s="5"/>
      <c r="K468" s="5"/>
      <c r="L468" s="5"/>
      <c r="M468" s="5"/>
    </row>
    <row r="469" ht="15.75" customHeight="1">
      <c r="A469" s="14">
        <v>46301.0</v>
      </c>
      <c r="B469" s="5" t="s">
        <v>4121</v>
      </c>
      <c r="C469" s="15">
        <v>0.6875</v>
      </c>
      <c r="D469" s="5" t="s">
        <v>2007</v>
      </c>
      <c r="E469" s="16" t="str">
        <f t="array" ref="E469">_xlfn.XLOOKUP(F469, Filmes!$D$2:$D$344, Filmes!$A$2:$A$344, "")</f>
        <v>149</v>
      </c>
      <c r="F469" s="7" t="s">
        <v>2055</v>
      </c>
      <c r="G469" s="17" t="s">
        <v>4128</v>
      </c>
      <c r="H469" s="17" t="s">
        <v>4129</v>
      </c>
      <c r="I469" s="19">
        <v>1.0</v>
      </c>
      <c r="J469" s="5"/>
      <c r="K469" s="5"/>
      <c r="L469" s="5"/>
      <c r="M469" s="5"/>
    </row>
    <row r="470" ht="15.75" customHeight="1">
      <c r="A470" s="14">
        <v>46296.0</v>
      </c>
      <c r="B470" s="5" t="s">
        <v>4124</v>
      </c>
      <c r="C470" s="15">
        <v>0.78125</v>
      </c>
      <c r="D470" s="5" t="s">
        <v>2007</v>
      </c>
      <c r="E470" s="16" t="str">
        <f t="array" ref="E470">_xlfn.XLOOKUP(F470, Filmes!$D$2:$D$344, Filmes!$A$2:$A$344, "")</f>
        <v>150</v>
      </c>
      <c r="F470" s="7" t="s">
        <v>2069</v>
      </c>
      <c r="G470" s="17" t="s">
        <v>4130</v>
      </c>
      <c r="H470" s="17" t="s">
        <v>4131</v>
      </c>
      <c r="I470" s="19">
        <v>3.0</v>
      </c>
      <c r="J470" s="5"/>
      <c r="K470" s="5"/>
      <c r="L470" s="5"/>
      <c r="M470" s="5"/>
    </row>
    <row r="471" ht="15.75" customHeight="1">
      <c r="A471" s="14">
        <v>46299.0</v>
      </c>
      <c r="B471" s="5" t="s">
        <v>4136</v>
      </c>
      <c r="C471" s="15">
        <v>0.90625</v>
      </c>
      <c r="D471" s="5" t="s">
        <v>2007</v>
      </c>
      <c r="E471" s="16" t="str">
        <f t="array" ref="E471">_xlfn.XLOOKUP(F471, Filmes!$D$2:$D$344, Filmes!$A$2:$A$344, "")</f>
        <v>150</v>
      </c>
      <c r="F471" s="7" t="s">
        <v>2069</v>
      </c>
      <c r="G471" s="17" t="s">
        <v>4128</v>
      </c>
      <c r="H471" s="17" t="s">
        <v>4129</v>
      </c>
      <c r="I471" s="19">
        <v>4.0</v>
      </c>
      <c r="J471" s="5"/>
      <c r="K471" s="5"/>
      <c r="L471" s="5"/>
      <c r="M471" s="5"/>
    </row>
    <row r="472" ht="15.75" customHeight="1">
      <c r="A472" s="14">
        <v>46302.0</v>
      </c>
      <c r="B472" s="5" t="s">
        <v>4143</v>
      </c>
      <c r="C472" s="15">
        <v>0.5729166666666666</v>
      </c>
      <c r="D472" s="5" t="s">
        <v>2007</v>
      </c>
      <c r="E472" s="16" t="str">
        <f t="array" ref="E472">_xlfn.XLOOKUP(F472, Filmes!$D$2:$D$344, Filmes!$A$2:$A$344, "")</f>
        <v>150</v>
      </c>
      <c r="F472" s="7" t="s">
        <v>2069</v>
      </c>
      <c r="G472" s="17" t="s">
        <v>4133</v>
      </c>
      <c r="H472" s="17" t="s">
        <v>4134</v>
      </c>
      <c r="I472" s="19">
        <v>2.0</v>
      </c>
      <c r="J472" s="5"/>
      <c r="K472" s="5"/>
      <c r="L472" s="5"/>
      <c r="M472" s="5"/>
    </row>
    <row r="473" ht="15.75" customHeight="1">
      <c r="A473" s="14">
        <v>46298.0</v>
      </c>
      <c r="B473" s="5" t="s">
        <v>4127</v>
      </c>
      <c r="C473" s="15">
        <v>0.78125</v>
      </c>
      <c r="D473" s="5" t="s">
        <v>2007</v>
      </c>
      <c r="E473" s="16" t="str">
        <f t="array" ref="E473">_xlfn.XLOOKUP(F473, Filmes!$D$2:$D$344, Filmes!$A$2:$A$344, "")</f>
        <v>151</v>
      </c>
      <c r="F473" s="7" t="s">
        <v>2081</v>
      </c>
      <c r="G473" s="17" t="s">
        <v>4130</v>
      </c>
      <c r="H473" s="17" t="s">
        <v>4131</v>
      </c>
      <c r="I473" s="19">
        <v>5.0</v>
      </c>
      <c r="J473" s="5"/>
      <c r="K473" s="5"/>
      <c r="L473" s="5"/>
      <c r="M473" s="5"/>
    </row>
    <row r="474" ht="15.75" customHeight="1">
      <c r="A474" s="14">
        <v>46300.0</v>
      </c>
      <c r="B474" s="5" t="s">
        <v>4132</v>
      </c>
      <c r="C474" s="15">
        <v>0.8645833333333334</v>
      </c>
      <c r="D474" s="5" t="s">
        <v>2007</v>
      </c>
      <c r="E474" s="16" t="str">
        <f t="array" ref="E474">_xlfn.XLOOKUP(F474, Filmes!$D$2:$D$344, Filmes!$A$2:$A$344, "")</f>
        <v>151</v>
      </c>
      <c r="F474" s="7" t="s">
        <v>2081</v>
      </c>
      <c r="G474" s="17" t="s">
        <v>4128</v>
      </c>
      <c r="H474" s="17" t="s">
        <v>4129</v>
      </c>
      <c r="I474" s="19">
        <v>3.0</v>
      </c>
      <c r="J474" s="5"/>
      <c r="K474" s="5"/>
      <c r="L474" s="5"/>
      <c r="M474" s="5"/>
    </row>
    <row r="475" ht="15.75" customHeight="1">
      <c r="A475" s="14">
        <v>46305.0</v>
      </c>
      <c r="B475" s="5" t="s">
        <v>4127</v>
      </c>
      <c r="C475" s="15">
        <v>0.65625</v>
      </c>
      <c r="D475" s="5" t="s">
        <v>2007</v>
      </c>
      <c r="E475" s="16" t="str">
        <f t="array" ref="E475">_xlfn.XLOOKUP(F475, Filmes!$D$2:$D$344, Filmes!$A$2:$A$344, "")</f>
        <v>151</v>
      </c>
      <c r="F475" s="7" t="s">
        <v>2081</v>
      </c>
      <c r="G475" s="17" t="s">
        <v>4133</v>
      </c>
      <c r="H475" s="17" t="s">
        <v>4134</v>
      </c>
      <c r="I475" s="19">
        <v>1.0</v>
      </c>
      <c r="J475" s="5"/>
      <c r="K475" s="5"/>
      <c r="L475" s="5"/>
      <c r="M475" s="5"/>
    </row>
    <row r="476" ht="15.75" customHeight="1">
      <c r="A476" s="14">
        <v>46303.0</v>
      </c>
      <c r="B476" s="5" t="s">
        <v>4124</v>
      </c>
      <c r="C476" s="15">
        <v>0.8333333333333334</v>
      </c>
      <c r="D476" s="5" t="s">
        <v>2007</v>
      </c>
      <c r="E476" s="16" t="str">
        <f t="array" ref="E476">_xlfn.XLOOKUP(F476, Filmes!$D$2:$D$344, Filmes!$A$2:$A$344, "")</f>
        <v>152</v>
      </c>
      <c r="F476" s="7" t="s">
        <v>2093</v>
      </c>
      <c r="G476" s="17" t="s">
        <v>4133</v>
      </c>
      <c r="H476" s="17" t="s">
        <v>4134</v>
      </c>
      <c r="I476" s="19">
        <v>1.0</v>
      </c>
      <c r="J476" s="5"/>
      <c r="K476" s="5"/>
      <c r="L476" s="5"/>
      <c r="M476" s="5"/>
    </row>
    <row r="477" ht="15.75" customHeight="1">
      <c r="A477" s="14">
        <v>46306.0</v>
      </c>
      <c r="B477" s="5" t="s">
        <v>4136</v>
      </c>
      <c r="C477" s="15">
        <v>0.6944444444444444</v>
      </c>
      <c r="D477" s="5" t="s">
        <v>2007</v>
      </c>
      <c r="E477" s="16" t="str">
        <f t="array" ref="E477">_xlfn.XLOOKUP(F477, Filmes!$D$2:$D$344, Filmes!$A$2:$A$344, "")</f>
        <v>152</v>
      </c>
      <c r="F477" s="7" t="s">
        <v>2093</v>
      </c>
      <c r="G477" s="17" t="s">
        <v>4137</v>
      </c>
      <c r="H477" s="17" t="s">
        <v>4138</v>
      </c>
      <c r="I477" s="19">
        <v>1.0</v>
      </c>
      <c r="J477" s="5"/>
      <c r="K477" s="5"/>
      <c r="L477" s="5"/>
      <c r="M477" s="5"/>
    </row>
    <row r="478" ht="15.75" customHeight="1">
      <c r="A478" s="14">
        <v>46308.0</v>
      </c>
      <c r="B478" s="5" t="s">
        <v>4121</v>
      </c>
      <c r="C478" s="15">
        <v>0.78125</v>
      </c>
      <c r="D478" s="5" t="s">
        <v>2007</v>
      </c>
      <c r="E478" s="16" t="str">
        <f t="array" ref="E478">_xlfn.XLOOKUP(F478, Filmes!$D$2:$D$344, Filmes!$A$2:$A$344, "")</f>
        <v>152</v>
      </c>
      <c r="F478" s="7" t="s">
        <v>2093</v>
      </c>
      <c r="G478" s="17" t="s">
        <v>4139</v>
      </c>
      <c r="H478" s="17" t="s">
        <v>4140</v>
      </c>
      <c r="I478" s="19">
        <v>4.0</v>
      </c>
      <c r="J478" s="5"/>
      <c r="K478" s="5"/>
      <c r="L478" s="5"/>
      <c r="M478" s="5"/>
    </row>
    <row r="479" ht="15.75" customHeight="1">
      <c r="A479" s="14">
        <v>46302.0</v>
      </c>
      <c r="B479" s="5" t="s">
        <v>4143</v>
      </c>
      <c r="C479" s="15">
        <v>0.875</v>
      </c>
      <c r="D479" s="5" t="s">
        <v>2007</v>
      </c>
      <c r="E479" s="16" t="str">
        <f t="array" ref="E479">_xlfn.XLOOKUP(F479, Filmes!$D$2:$D$344, Filmes!$A$2:$A$344, "")</f>
        <v>153</v>
      </c>
      <c r="F479" s="7" t="s">
        <v>2103</v>
      </c>
      <c r="G479" s="17" t="s">
        <v>4130</v>
      </c>
      <c r="H479" s="17" t="s">
        <v>4131</v>
      </c>
      <c r="I479" s="19">
        <v>2.0</v>
      </c>
      <c r="J479" s="5"/>
      <c r="K479" s="5"/>
      <c r="L479" s="5"/>
      <c r="M479" s="5"/>
    </row>
    <row r="480" ht="15.75" customHeight="1">
      <c r="A480" s="14">
        <v>46304.0</v>
      </c>
      <c r="B480" s="5" t="s">
        <v>4135</v>
      </c>
      <c r="C480" s="15">
        <v>0.5833333333333334</v>
      </c>
      <c r="D480" s="5" t="s">
        <v>2007</v>
      </c>
      <c r="E480" s="16" t="str">
        <f t="array" ref="E480">_xlfn.XLOOKUP(F480, Filmes!$D$2:$D$344, Filmes!$A$2:$A$344, "")</f>
        <v>153</v>
      </c>
      <c r="F480" s="7" t="s">
        <v>2103</v>
      </c>
      <c r="G480" s="17" t="s">
        <v>4128</v>
      </c>
      <c r="H480" s="17" t="s">
        <v>4129</v>
      </c>
      <c r="I480" s="19">
        <v>2.0</v>
      </c>
      <c r="J480" s="5"/>
      <c r="K480" s="5"/>
      <c r="L480" s="5"/>
      <c r="M480" s="5"/>
    </row>
    <row r="481" ht="15.75" customHeight="1">
      <c r="A481" s="14">
        <v>46309.0</v>
      </c>
      <c r="B481" s="5" t="s">
        <v>4143</v>
      </c>
      <c r="C481" s="15">
        <v>0.78125</v>
      </c>
      <c r="D481" s="5" t="s">
        <v>2007</v>
      </c>
      <c r="E481" s="16" t="str">
        <f t="array" ref="E481">_xlfn.XLOOKUP(F481, Filmes!$D$2:$D$344, Filmes!$A$2:$A$344, "")</f>
        <v>153</v>
      </c>
      <c r="F481" s="7" t="s">
        <v>2103</v>
      </c>
      <c r="G481" s="17" t="s">
        <v>4139</v>
      </c>
      <c r="H481" s="17" t="s">
        <v>4140</v>
      </c>
      <c r="I481" s="19">
        <v>4.0</v>
      </c>
      <c r="J481" s="5"/>
      <c r="K481" s="5"/>
      <c r="L481" s="5"/>
      <c r="M481" s="5"/>
    </row>
    <row r="482" ht="15.75" customHeight="1">
      <c r="A482" s="14">
        <v>46297.0</v>
      </c>
      <c r="B482" s="5" t="s">
        <v>4135</v>
      </c>
      <c r="C482" s="15">
        <v>0.75</v>
      </c>
      <c r="D482" s="5" t="s">
        <v>2007</v>
      </c>
      <c r="E482" s="16" t="str">
        <f t="array" ref="E482">_xlfn.XLOOKUP(F482, Filmes!$D$2:$D$344, Filmes!$A$2:$A$344, "")</f>
        <v>154</v>
      </c>
      <c r="F482" s="7" t="s">
        <v>2111</v>
      </c>
      <c r="G482" s="17" t="s">
        <v>4133</v>
      </c>
      <c r="H482" s="17" t="s">
        <v>4134</v>
      </c>
      <c r="I482" s="19">
        <v>1.0</v>
      </c>
      <c r="J482" s="5"/>
      <c r="K482" s="5"/>
      <c r="L482" s="5"/>
      <c r="M482" s="5"/>
    </row>
    <row r="483" ht="15.75" customHeight="1">
      <c r="A483" s="14">
        <v>46299.0</v>
      </c>
      <c r="B483" s="5" t="s">
        <v>4136</v>
      </c>
      <c r="C483" s="15">
        <v>0.8645833333333334</v>
      </c>
      <c r="D483" s="5" t="s">
        <v>2007</v>
      </c>
      <c r="E483" s="16" t="str">
        <f t="array" ref="E483">_xlfn.XLOOKUP(F483, Filmes!$D$2:$D$344, Filmes!$A$2:$A$344, "")</f>
        <v>154</v>
      </c>
      <c r="F483" s="7" t="s">
        <v>2111</v>
      </c>
      <c r="G483" s="17" t="s">
        <v>4128</v>
      </c>
      <c r="H483" s="17" t="s">
        <v>4129</v>
      </c>
      <c r="I483" s="19">
        <v>3.0</v>
      </c>
      <c r="J483" s="5"/>
      <c r="K483" s="5"/>
      <c r="L483" s="5"/>
      <c r="M483" s="5"/>
    </row>
    <row r="484" ht="15.75" customHeight="1">
      <c r="A484" s="14">
        <v>46301.0</v>
      </c>
      <c r="B484" s="5" t="s">
        <v>4121</v>
      </c>
      <c r="C484" s="15">
        <v>0.6875</v>
      </c>
      <c r="D484" s="5" t="s">
        <v>2007</v>
      </c>
      <c r="E484" s="16" t="str">
        <f t="array" ref="E484">_xlfn.XLOOKUP(F484, Filmes!$D$2:$D$344, Filmes!$A$2:$A$344, "")</f>
        <v>154</v>
      </c>
      <c r="F484" s="7" t="s">
        <v>2111</v>
      </c>
      <c r="G484" s="17" t="s">
        <v>4130</v>
      </c>
      <c r="H484" s="17" t="s">
        <v>4131</v>
      </c>
      <c r="I484" s="19">
        <v>1.0</v>
      </c>
      <c r="J484" s="5"/>
      <c r="K484" s="5"/>
      <c r="L484" s="5"/>
      <c r="M484" s="5"/>
    </row>
    <row r="485" ht="15.75" customHeight="1">
      <c r="A485" s="14">
        <v>46297.0</v>
      </c>
      <c r="B485" s="5" t="s">
        <v>4135</v>
      </c>
      <c r="C485" s="15">
        <v>0.6875</v>
      </c>
      <c r="D485" s="5" t="s">
        <v>2007</v>
      </c>
      <c r="E485" s="16" t="str">
        <f t="array" ref="E485">_xlfn.XLOOKUP(F485, Filmes!$D$2:$D$344, Filmes!$A$2:$A$344, "")</f>
        <v>155</v>
      </c>
      <c r="F485" s="7" t="s">
        <v>2126</v>
      </c>
      <c r="G485" s="17" t="s">
        <v>4128</v>
      </c>
      <c r="H485" s="17" t="s">
        <v>4129</v>
      </c>
      <c r="I485" s="19">
        <v>1.0</v>
      </c>
      <c r="J485" s="5"/>
      <c r="K485" s="5"/>
      <c r="L485" s="5"/>
      <c r="M485" s="5"/>
    </row>
    <row r="486" ht="15.75" customHeight="1">
      <c r="A486" s="14">
        <v>46300.0</v>
      </c>
      <c r="B486" s="5" t="s">
        <v>4132</v>
      </c>
      <c r="C486" s="15">
        <v>0.8854166666666666</v>
      </c>
      <c r="D486" s="5" t="s">
        <v>2007</v>
      </c>
      <c r="E486" s="16" t="str">
        <f t="array" ref="E486">_xlfn.XLOOKUP(F486, Filmes!$D$2:$D$344, Filmes!$A$2:$A$344, "")</f>
        <v>155</v>
      </c>
      <c r="F486" s="7" t="s">
        <v>2126</v>
      </c>
      <c r="G486" s="17" t="s">
        <v>4139</v>
      </c>
      <c r="H486" s="17" t="s">
        <v>4140</v>
      </c>
      <c r="I486" s="19">
        <v>4.0</v>
      </c>
      <c r="J486" s="5"/>
      <c r="K486" s="5"/>
      <c r="L486" s="5"/>
      <c r="M486" s="5"/>
    </row>
    <row r="487" ht="15.75" customHeight="1">
      <c r="A487" s="14">
        <v>46306.0</v>
      </c>
      <c r="B487" s="5" t="s">
        <v>4136</v>
      </c>
      <c r="C487" s="15">
        <v>0.7916666666666666</v>
      </c>
      <c r="D487" s="5" t="s">
        <v>2007</v>
      </c>
      <c r="E487" s="16" t="str">
        <f t="array" ref="E487">_xlfn.XLOOKUP(F487, Filmes!$D$2:$D$344, Filmes!$A$2:$A$344, "")</f>
        <v>155</v>
      </c>
      <c r="F487" s="7" t="s">
        <v>2126</v>
      </c>
      <c r="G487" s="17" t="s">
        <v>4130</v>
      </c>
      <c r="H487" s="17" t="s">
        <v>4131</v>
      </c>
      <c r="I487" s="19">
        <v>3.0</v>
      </c>
      <c r="J487" s="5"/>
      <c r="K487" s="5"/>
      <c r="L487" s="5"/>
      <c r="M487" s="5"/>
    </row>
    <row r="488" ht="15.75" customHeight="1">
      <c r="A488" s="14">
        <v>46301.0</v>
      </c>
      <c r="B488" s="5" t="s">
        <v>4121</v>
      </c>
      <c r="C488" s="15">
        <v>0.6666666666666666</v>
      </c>
      <c r="D488" s="5" t="s">
        <v>2136</v>
      </c>
      <c r="E488" s="16" t="str">
        <f t="array" ref="E488">_xlfn.XLOOKUP(F488, Filmes!$D$2:$D$344, Filmes!$A$2:$A$344, "")</f>
        <v>156</v>
      </c>
      <c r="F488" s="7" t="s">
        <v>2137</v>
      </c>
      <c r="G488" s="17" t="s">
        <v>4145</v>
      </c>
      <c r="H488" s="17" t="s">
        <v>4146</v>
      </c>
      <c r="I488" s="18"/>
      <c r="J488" s="5"/>
      <c r="K488" s="5" t="s">
        <v>65</v>
      </c>
      <c r="L488" s="5"/>
      <c r="M488" s="5"/>
    </row>
    <row r="489" ht="15.75" customHeight="1">
      <c r="A489" s="14">
        <v>46306.0</v>
      </c>
      <c r="B489" s="5" t="s">
        <v>4136</v>
      </c>
      <c r="C489" s="15">
        <v>0.6666666666666666</v>
      </c>
      <c r="D489" s="5" t="s">
        <v>2136</v>
      </c>
      <c r="E489" s="16" t="str">
        <f t="array" ref="E489">_xlfn.XLOOKUP(F489, Filmes!$D$2:$D$344, Filmes!$A$2:$A$344, "")</f>
        <v>156</v>
      </c>
      <c r="F489" s="7" t="s">
        <v>2137</v>
      </c>
      <c r="G489" s="17" t="s">
        <v>4147</v>
      </c>
      <c r="H489" s="17" t="s">
        <v>4148</v>
      </c>
      <c r="I489" s="18"/>
      <c r="J489" s="5"/>
      <c r="K489" s="5" t="s">
        <v>65</v>
      </c>
      <c r="L489" s="5"/>
      <c r="M489" s="5"/>
    </row>
    <row r="490" ht="15.75" customHeight="1">
      <c r="A490" s="14">
        <v>46301.0</v>
      </c>
      <c r="B490" s="5" t="s">
        <v>4121</v>
      </c>
      <c r="C490" s="15">
        <v>0.75</v>
      </c>
      <c r="D490" s="5" t="s">
        <v>2136</v>
      </c>
      <c r="E490" s="16" t="str">
        <f t="array" ref="E490">_xlfn.XLOOKUP(F490, Filmes!$D$2:$D$344, Filmes!$A$2:$A$344, "")</f>
        <v>157</v>
      </c>
      <c r="F490" s="7" t="s">
        <v>2145</v>
      </c>
      <c r="G490" s="17" t="s">
        <v>4145</v>
      </c>
      <c r="H490" s="17" t="s">
        <v>4146</v>
      </c>
      <c r="I490" s="18"/>
      <c r="J490" s="5"/>
      <c r="K490" s="5" t="s">
        <v>65</v>
      </c>
      <c r="L490" s="5"/>
      <c r="M490" s="5"/>
    </row>
    <row r="491" ht="15.75" customHeight="1">
      <c r="A491" s="14">
        <v>46302.0</v>
      </c>
      <c r="B491" s="5" t="s">
        <v>4143</v>
      </c>
      <c r="C491" s="15">
        <v>0.7083333333333334</v>
      </c>
      <c r="D491" s="5" t="s">
        <v>2136</v>
      </c>
      <c r="E491" s="16" t="str">
        <f t="array" ref="E491">_xlfn.XLOOKUP(F491, Filmes!$D$2:$D$344, Filmes!$A$2:$A$344, "")</f>
        <v>157</v>
      </c>
      <c r="F491" s="7" t="s">
        <v>2145</v>
      </c>
      <c r="G491" s="17" t="s">
        <v>4149</v>
      </c>
      <c r="H491" s="17" t="s">
        <v>4150</v>
      </c>
      <c r="I491" s="18"/>
      <c r="J491" s="5"/>
      <c r="K491" s="5" t="s">
        <v>65</v>
      </c>
      <c r="L491" s="5"/>
      <c r="M491" s="5"/>
    </row>
    <row r="492" ht="15.75" customHeight="1">
      <c r="A492" s="14">
        <v>46301.0</v>
      </c>
      <c r="B492" s="5" t="s">
        <v>4121</v>
      </c>
      <c r="C492" s="15">
        <v>0.6840277777777778</v>
      </c>
      <c r="D492" s="5" t="s">
        <v>2136</v>
      </c>
      <c r="E492" s="16" t="str">
        <f t="array" ref="E492">_xlfn.XLOOKUP(F492, Filmes!$D$2:$D$344, Filmes!$A$2:$A$344, "")</f>
        <v>158</v>
      </c>
      <c r="F492" s="7" t="s">
        <v>2156</v>
      </c>
      <c r="G492" s="17" t="s">
        <v>4139</v>
      </c>
      <c r="H492" s="17" t="s">
        <v>4140</v>
      </c>
      <c r="I492" s="19">
        <v>2.0</v>
      </c>
      <c r="J492" s="10"/>
      <c r="K492" s="5" t="s">
        <v>65</v>
      </c>
      <c r="L492" s="5"/>
      <c r="M492" s="5" t="s">
        <v>65</v>
      </c>
    </row>
    <row r="493" ht="15.75" customHeight="1">
      <c r="A493" s="14">
        <v>46302.0</v>
      </c>
      <c r="B493" s="5" t="s">
        <v>4143</v>
      </c>
      <c r="C493" s="15">
        <v>0.6666666666666666</v>
      </c>
      <c r="D493" s="5" t="s">
        <v>2136</v>
      </c>
      <c r="E493" s="16" t="str">
        <f t="array" ref="E493">_xlfn.XLOOKUP(F493, Filmes!$D$2:$D$344, Filmes!$A$2:$A$344, "")</f>
        <v>159</v>
      </c>
      <c r="F493" s="7" t="s">
        <v>2161</v>
      </c>
      <c r="G493" s="17" t="s">
        <v>4147</v>
      </c>
      <c r="H493" s="17" t="s">
        <v>4148</v>
      </c>
      <c r="I493" s="18"/>
      <c r="J493" s="5"/>
      <c r="K493" s="5" t="s">
        <v>65</v>
      </c>
      <c r="L493" s="5"/>
      <c r="M493" s="5"/>
    </row>
    <row r="494" ht="15.75" customHeight="1">
      <c r="A494" s="14">
        <v>46301.0</v>
      </c>
      <c r="B494" s="5" t="s">
        <v>4121</v>
      </c>
      <c r="C494" s="15">
        <v>0.7083333333333334</v>
      </c>
      <c r="D494" s="5" t="s">
        <v>2136</v>
      </c>
      <c r="E494" s="16" t="str">
        <f t="array" ref="E494">_xlfn.XLOOKUP(F494, Filmes!$D$2:$D$344, Filmes!$A$2:$A$344, "")</f>
        <v>160</v>
      </c>
      <c r="F494" s="7" t="s">
        <v>2171</v>
      </c>
      <c r="G494" s="17" t="s">
        <v>4149</v>
      </c>
      <c r="H494" s="17" t="s">
        <v>4150</v>
      </c>
      <c r="I494" s="18"/>
      <c r="J494" s="5"/>
      <c r="K494" s="5" t="s">
        <v>65</v>
      </c>
      <c r="L494" s="5"/>
      <c r="M494" s="5"/>
    </row>
    <row r="495" ht="15.75" customHeight="1">
      <c r="A495" s="14">
        <v>46302.0</v>
      </c>
      <c r="B495" s="5" t="s">
        <v>4143</v>
      </c>
      <c r="C495" s="15">
        <v>0.6666666666666666</v>
      </c>
      <c r="D495" s="5" t="s">
        <v>2136</v>
      </c>
      <c r="E495" s="16" t="str">
        <f t="array" ref="E495">_xlfn.XLOOKUP(F495, Filmes!$D$2:$D$344, Filmes!$A$2:$A$344, "")</f>
        <v>160</v>
      </c>
      <c r="F495" s="7" t="s">
        <v>2171</v>
      </c>
      <c r="G495" s="17" t="s">
        <v>4145</v>
      </c>
      <c r="H495" s="17" t="s">
        <v>4146</v>
      </c>
      <c r="I495" s="18"/>
      <c r="J495" s="5"/>
      <c r="K495" s="5" t="s">
        <v>65</v>
      </c>
      <c r="L495" s="5"/>
      <c r="M495" s="5"/>
    </row>
    <row r="496" ht="15.75" customHeight="1">
      <c r="A496" s="14">
        <v>46297.0</v>
      </c>
      <c r="B496" s="5" t="s">
        <v>4135</v>
      </c>
      <c r="C496" s="15">
        <v>0.6666666666666666</v>
      </c>
      <c r="D496" s="5" t="s">
        <v>2136</v>
      </c>
      <c r="E496" s="16" t="str">
        <f t="array" ref="E496">_xlfn.XLOOKUP(F496, Filmes!$D$2:$D$344, Filmes!$A$2:$A$344, "")</f>
        <v>161</v>
      </c>
      <c r="F496" s="7" t="s">
        <v>2178</v>
      </c>
      <c r="G496" s="17" t="s">
        <v>4151</v>
      </c>
      <c r="H496" s="17" t="s">
        <v>4148</v>
      </c>
      <c r="I496" s="18"/>
      <c r="J496" s="5"/>
      <c r="K496" s="5" t="s">
        <v>65</v>
      </c>
      <c r="L496" s="5"/>
      <c r="M496" s="5"/>
    </row>
    <row r="497" ht="15.75" customHeight="1">
      <c r="A497" s="14">
        <v>46304.0</v>
      </c>
      <c r="B497" s="5" t="s">
        <v>4135</v>
      </c>
      <c r="C497" s="15">
        <v>0.7083333333333334</v>
      </c>
      <c r="D497" s="5" t="s">
        <v>2136</v>
      </c>
      <c r="E497" s="16" t="str">
        <f t="array" ref="E497">_xlfn.XLOOKUP(F497, Filmes!$D$2:$D$344, Filmes!$A$2:$A$344, "")</f>
        <v>161</v>
      </c>
      <c r="F497" s="7" t="s">
        <v>2178</v>
      </c>
      <c r="G497" s="17" t="s">
        <v>4149</v>
      </c>
      <c r="H497" s="17" t="s">
        <v>4150</v>
      </c>
      <c r="I497" s="18"/>
      <c r="J497" s="5"/>
      <c r="K497" s="5" t="s">
        <v>65</v>
      </c>
      <c r="L497" s="5"/>
      <c r="M497" s="5"/>
    </row>
    <row r="498" ht="15.75" customHeight="1">
      <c r="A498" s="14">
        <v>46305.0</v>
      </c>
      <c r="B498" s="5" t="s">
        <v>4127</v>
      </c>
      <c r="C498" s="15">
        <v>0.5833333333333334</v>
      </c>
      <c r="D498" s="5" t="s">
        <v>2136</v>
      </c>
      <c r="E498" s="16" t="str">
        <f t="array" ref="E498">_xlfn.XLOOKUP(F498, Filmes!$D$2:$D$344, Filmes!$A$2:$A$344, "")</f>
        <v>162</v>
      </c>
      <c r="F498" s="7" t="s">
        <v>2185</v>
      </c>
      <c r="G498" s="17" t="s">
        <v>4147</v>
      </c>
      <c r="H498" s="17" t="s">
        <v>4148</v>
      </c>
      <c r="I498" s="18"/>
      <c r="J498" s="5"/>
      <c r="K498" s="5" t="s">
        <v>65</v>
      </c>
      <c r="L498" s="5"/>
      <c r="M498" s="5"/>
    </row>
    <row r="499" ht="15.75" customHeight="1">
      <c r="A499" s="14">
        <v>46297.0</v>
      </c>
      <c r="B499" s="5" t="s">
        <v>4135</v>
      </c>
      <c r="C499" s="15">
        <v>0.75</v>
      </c>
      <c r="D499" s="5" t="s">
        <v>2136</v>
      </c>
      <c r="E499" s="16" t="str">
        <f t="array" ref="E499">_xlfn.XLOOKUP(F499, Filmes!$D$2:$D$344, Filmes!$A$2:$A$344, "")</f>
        <v>163</v>
      </c>
      <c r="F499" s="7" t="s">
        <v>2193</v>
      </c>
      <c r="G499" s="17" t="s">
        <v>4145</v>
      </c>
      <c r="H499" s="17" t="s">
        <v>4146</v>
      </c>
      <c r="I499" s="18"/>
      <c r="J499" s="5"/>
      <c r="K499" s="5" t="s">
        <v>65</v>
      </c>
      <c r="L499" s="5"/>
      <c r="M499" s="5"/>
    </row>
    <row r="500" ht="15.75" customHeight="1">
      <c r="A500" s="14">
        <v>46298.0</v>
      </c>
      <c r="B500" s="5" t="s">
        <v>4127</v>
      </c>
      <c r="C500" s="15">
        <v>0.75</v>
      </c>
      <c r="D500" s="5" t="s">
        <v>2136</v>
      </c>
      <c r="E500" s="16" t="str">
        <f t="array" ref="E500">_xlfn.XLOOKUP(F500, Filmes!$D$2:$D$344, Filmes!$A$2:$A$344, "")</f>
        <v>163</v>
      </c>
      <c r="F500" s="7" t="s">
        <v>2193</v>
      </c>
      <c r="G500" s="17" t="s">
        <v>4151</v>
      </c>
      <c r="H500" s="17" t="s">
        <v>4148</v>
      </c>
      <c r="I500" s="18"/>
      <c r="J500" s="5"/>
      <c r="K500" s="5" t="s">
        <v>65</v>
      </c>
      <c r="L500" s="5"/>
      <c r="M500" s="5"/>
    </row>
    <row r="501" ht="15.75" customHeight="1">
      <c r="A501" s="14">
        <v>46299.0</v>
      </c>
      <c r="B501" s="5" t="s">
        <v>4136</v>
      </c>
      <c r="C501" s="15">
        <v>0.78125</v>
      </c>
      <c r="D501" s="5" t="s">
        <v>2136</v>
      </c>
      <c r="E501" s="16" t="str">
        <f t="array" ref="E501">_xlfn.XLOOKUP(F501, Filmes!$D$2:$D$344, Filmes!$A$2:$A$344, "")</f>
        <v>163</v>
      </c>
      <c r="F501" s="7" t="s">
        <v>2193</v>
      </c>
      <c r="G501" s="17" t="s">
        <v>4152</v>
      </c>
      <c r="H501" s="17" t="s">
        <v>4153</v>
      </c>
      <c r="I501" s="18"/>
      <c r="J501" s="5"/>
      <c r="K501" s="5" t="s">
        <v>65</v>
      </c>
      <c r="L501" s="5"/>
      <c r="M501" s="5"/>
    </row>
    <row r="502" ht="15.75" customHeight="1">
      <c r="A502" s="14">
        <v>46301.0</v>
      </c>
      <c r="B502" s="5" t="s">
        <v>4121</v>
      </c>
      <c r="C502" s="15">
        <v>0.7916666666666666</v>
      </c>
      <c r="D502" s="5" t="s">
        <v>2136</v>
      </c>
      <c r="E502" s="16" t="str">
        <f t="array" ref="E502">_xlfn.XLOOKUP(F502, Filmes!$D$2:$D$344, Filmes!$A$2:$A$344, "")</f>
        <v>163</v>
      </c>
      <c r="F502" s="7" t="s">
        <v>2193</v>
      </c>
      <c r="G502" s="17" t="s">
        <v>4149</v>
      </c>
      <c r="H502" s="17" t="s">
        <v>4150</v>
      </c>
      <c r="I502" s="18"/>
      <c r="J502" s="5"/>
      <c r="K502" s="5" t="s">
        <v>65</v>
      </c>
      <c r="L502" s="5"/>
      <c r="M502" s="5"/>
    </row>
    <row r="503" ht="15.75" customHeight="1">
      <c r="A503" s="14">
        <v>46297.0</v>
      </c>
      <c r="B503" s="5" t="s">
        <v>4135</v>
      </c>
      <c r="C503" s="15">
        <v>0.75</v>
      </c>
      <c r="D503" s="5" t="s">
        <v>2136</v>
      </c>
      <c r="E503" s="16" t="str">
        <f t="array" ref="E503">_xlfn.XLOOKUP(F503, Filmes!$D$2:$D$344, Filmes!$A$2:$A$344, "")</f>
        <v>164</v>
      </c>
      <c r="F503" s="7" t="s">
        <v>2200</v>
      </c>
      <c r="G503" s="17" t="s">
        <v>4151</v>
      </c>
      <c r="H503" s="17" t="s">
        <v>4148</v>
      </c>
      <c r="I503" s="18"/>
      <c r="J503" s="5"/>
      <c r="K503" s="5" t="s">
        <v>65</v>
      </c>
      <c r="L503" s="5"/>
      <c r="M503" s="5"/>
    </row>
    <row r="504" ht="15.75" customHeight="1">
      <c r="A504" s="14">
        <v>46302.0</v>
      </c>
      <c r="B504" s="5" t="s">
        <v>4143</v>
      </c>
      <c r="C504" s="15">
        <v>0.5833333333333334</v>
      </c>
      <c r="D504" s="5" t="s">
        <v>2136</v>
      </c>
      <c r="E504" s="16" t="str">
        <f t="array" ref="E504">_xlfn.XLOOKUP(F504, Filmes!$D$2:$D$344, Filmes!$A$2:$A$344, "")</f>
        <v>164</v>
      </c>
      <c r="F504" s="7" t="s">
        <v>2200</v>
      </c>
      <c r="G504" s="17" t="s">
        <v>4147</v>
      </c>
      <c r="H504" s="17" t="s">
        <v>4148</v>
      </c>
      <c r="I504" s="18"/>
      <c r="J504" s="5"/>
      <c r="K504" s="5" t="s">
        <v>65</v>
      </c>
      <c r="L504" s="5"/>
      <c r="M504" s="5"/>
    </row>
    <row r="505" ht="15.75" customHeight="1">
      <c r="A505" s="14">
        <v>46304.0</v>
      </c>
      <c r="B505" s="5" t="s">
        <v>4135</v>
      </c>
      <c r="C505" s="15">
        <v>0.75</v>
      </c>
      <c r="D505" s="5" t="s">
        <v>2136</v>
      </c>
      <c r="E505" s="16" t="str">
        <f t="array" ref="E505">_xlfn.XLOOKUP(F505, Filmes!$D$2:$D$344, Filmes!$A$2:$A$344, "")</f>
        <v>165</v>
      </c>
      <c r="F505" s="7" t="s">
        <v>2207</v>
      </c>
      <c r="G505" s="17" t="s">
        <v>4147</v>
      </c>
      <c r="H505" s="17" t="s">
        <v>4148</v>
      </c>
      <c r="I505" s="18"/>
      <c r="J505" s="5"/>
      <c r="K505" s="5" t="s">
        <v>65</v>
      </c>
      <c r="L505" s="5"/>
      <c r="M505" s="5"/>
    </row>
    <row r="506" ht="15.75" customHeight="1">
      <c r="A506" s="14">
        <v>46303.0</v>
      </c>
      <c r="B506" s="5" t="s">
        <v>4124</v>
      </c>
      <c r="C506" s="15">
        <v>0.6666666666666666</v>
      </c>
      <c r="D506" s="5" t="s">
        <v>2136</v>
      </c>
      <c r="E506" s="16" t="str">
        <f t="array" ref="E506">_xlfn.XLOOKUP(F506, Filmes!$D$2:$D$344, Filmes!$A$2:$A$344, "")</f>
        <v>166</v>
      </c>
      <c r="F506" s="7" t="s">
        <v>2218</v>
      </c>
      <c r="G506" s="17" t="s">
        <v>4147</v>
      </c>
      <c r="H506" s="17" t="s">
        <v>4148</v>
      </c>
      <c r="I506" s="18"/>
      <c r="J506" s="5"/>
      <c r="K506" s="5" t="s">
        <v>65</v>
      </c>
      <c r="L506" s="5"/>
      <c r="M506" s="5"/>
    </row>
    <row r="507" ht="15.75" customHeight="1">
      <c r="A507" s="14">
        <v>46299.0</v>
      </c>
      <c r="B507" s="5" t="s">
        <v>4136</v>
      </c>
      <c r="C507" s="15">
        <v>0.6666666666666666</v>
      </c>
      <c r="D507" s="5" t="s">
        <v>2136</v>
      </c>
      <c r="E507" s="16" t="str">
        <f t="array" ref="E507">_xlfn.XLOOKUP(F507, Filmes!$D$2:$D$344, Filmes!$A$2:$A$344, "")</f>
        <v>167</v>
      </c>
      <c r="F507" s="7" t="s">
        <v>2225</v>
      </c>
      <c r="G507" s="17" t="s">
        <v>4151</v>
      </c>
      <c r="H507" s="17" t="s">
        <v>4148</v>
      </c>
      <c r="I507" s="18"/>
      <c r="J507" s="5"/>
      <c r="K507" s="5" t="s">
        <v>65</v>
      </c>
      <c r="L507" s="5"/>
      <c r="M507" s="5"/>
    </row>
    <row r="508" ht="15.75" customHeight="1">
      <c r="A508" s="14">
        <v>46299.0</v>
      </c>
      <c r="B508" s="5" t="s">
        <v>4136</v>
      </c>
      <c r="C508" s="15">
        <v>0.8854166666666666</v>
      </c>
      <c r="D508" s="5" t="s">
        <v>2136</v>
      </c>
      <c r="E508" s="16" t="str">
        <f t="array" ref="E508">_xlfn.XLOOKUP(F508, Filmes!$D$2:$D$344, Filmes!$A$2:$A$344, "")</f>
        <v>167</v>
      </c>
      <c r="F508" s="7" t="s">
        <v>2225</v>
      </c>
      <c r="G508" s="17" t="s">
        <v>4152</v>
      </c>
      <c r="H508" s="17" t="s">
        <v>4153</v>
      </c>
      <c r="I508" s="18"/>
      <c r="J508" s="5"/>
      <c r="K508" s="5" t="s">
        <v>65</v>
      </c>
      <c r="L508" s="5"/>
      <c r="M508" s="5"/>
    </row>
    <row r="509" ht="15.75" customHeight="1">
      <c r="A509" s="14">
        <v>46302.0</v>
      </c>
      <c r="B509" s="5" t="s">
        <v>4143</v>
      </c>
      <c r="C509" s="15">
        <v>0.75</v>
      </c>
      <c r="D509" s="5" t="s">
        <v>2136</v>
      </c>
      <c r="E509" s="16" t="str">
        <f t="array" ref="E509">_xlfn.XLOOKUP(F509, Filmes!$D$2:$D$344, Filmes!$A$2:$A$344, "")</f>
        <v>168</v>
      </c>
      <c r="F509" s="7" t="s">
        <v>2233</v>
      </c>
      <c r="G509" s="17" t="s">
        <v>4147</v>
      </c>
      <c r="H509" s="17" t="s">
        <v>4148</v>
      </c>
      <c r="I509" s="18"/>
      <c r="J509" s="5"/>
      <c r="K509" s="5" t="s">
        <v>65</v>
      </c>
      <c r="L509" s="5"/>
      <c r="M509" s="5"/>
    </row>
    <row r="510" ht="15.75" customHeight="1">
      <c r="A510" s="14">
        <v>46306.0</v>
      </c>
      <c r="B510" s="5" t="s">
        <v>4136</v>
      </c>
      <c r="C510" s="15">
        <v>0.78125</v>
      </c>
      <c r="D510" s="5" t="s">
        <v>2136</v>
      </c>
      <c r="E510" s="16" t="str">
        <f t="array" ref="E510">_xlfn.XLOOKUP(F510, Filmes!$D$2:$D$344, Filmes!$A$2:$A$344, "")</f>
        <v>168</v>
      </c>
      <c r="F510" s="7" t="s">
        <v>2233</v>
      </c>
      <c r="G510" s="17" t="s">
        <v>4152</v>
      </c>
      <c r="H510" s="17" t="s">
        <v>4153</v>
      </c>
      <c r="I510" s="18"/>
      <c r="J510" s="5"/>
      <c r="K510" s="5" t="s">
        <v>65</v>
      </c>
      <c r="L510" s="5"/>
      <c r="M510" s="5"/>
    </row>
    <row r="511" ht="15.75" customHeight="1">
      <c r="A511" s="14">
        <v>46301.0</v>
      </c>
      <c r="B511" s="5" t="s">
        <v>4121</v>
      </c>
      <c r="C511" s="15">
        <v>0.7916666666666666</v>
      </c>
      <c r="D511" s="5" t="s">
        <v>2136</v>
      </c>
      <c r="E511" s="16" t="str">
        <f t="array" ref="E511">_xlfn.XLOOKUP(F511, Filmes!$D$2:$D$344, Filmes!$A$2:$A$344, "")</f>
        <v>169</v>
      </c>
      <c r="F511" s="7" t="s">
        <v>2240</v>
      </c>
      <c r="G511" s="17" t="s">
        <v>4154</v>
      </c>
      <c r="H511" s="17" t="s">
        <v>4155</v>
      </c>
      <c r="I511" s="18"/>
      <c r="J511" s="5"/>
      <c r="K511" s="5" t="s">
        <v>65</v>
      </c>
      <c r="L511" s="5"/>
      <c r="M511" s="5"/>
    </row>
    <row r="512" ht="15.75" customHeight="1">
      <c r="A512" s="14">
        <v>46302.0</v>
      </c>
      <c r="B512" s="5" t="s">
        <v>4143</v>
      </c>
      <c r="C512" s="15">
        <v>0.75</v>
      </c>
      <c r="D512" s="5" t="s">
        <v>2136</v>
      </c>
      <c r="E512" s="16" t="str">
        <f t="array" ref="E512">_xlfn.XLOOKUP(F512, Filmes!$D$2:$D$344, Filmes!$A$2:$A$344, "")</f>
        <v>169</v>
      </c>
      <c r="F512" s="7" t="s">
        <v>2240</v>
      </c>
      <c r="G512" s="17" t="s">
        <v>4145</v>
      </c>
      <c r="H512" s="17" t="s">
        <v>4146</v>
      </c>
      <c r="I512" s="18"/>
      <c r="J512" s="5"/>
      <c r="K512" s="5" t="s">
        <v>65</v>
      </c>
      <c r="L512" s="5"/>
      <c r="M512" s="5"/>
    </row>
    <row r="513" ht="15.75" customHeight="1">
      <c r="A513" s="14">
        <v>46305.0</v>
      </c>
      <c r="B513" s="5" t="s">
        <v>4127</v>
      </c>
      <c r="C513" s="15">
        <v>0.75</v>
      </c>
      <c r="D513" s="5" t="s">
        <v>2136</v>
      </c>
      <c r="E513" s="16" t="str">
        <f t="array" ref="E513">_xlfn.XLOOKUP(F513, Filmes!$D$2:$D$344, Filmes!$A$2:$A$344, "")</f>
        <v>169</v>
      </c>
      <c r="F513" s="7" t="s">
        <v>2240</v>
      </c>
      <c r="G513" s="17" t="s">
        <v>4156</v>
      </c>
      <c r="H513" s="17" t="s">
        <v>4157</v>
      </c>
      <c r="I513" s="18"/>
      <c r="J513" s="5"/>
      <c r="K513" s="5" t="s">
        <v>65</v>
      </c>
      <c r="L513" s="5"/>
      <c r="M513" s="5"/>
    </row>
    <row r="514" ht="15.75" customHeight="1">
      <c r="A514" s="14">
        <v>46306.0</v>
      </c>
      <c r="B514" s="5" t="s">
        <v>4136</v>
      </c>
      <c r="C514" s="15">
        <v>0.7916666666666666</v>
      </c>
      <c r="D514" s="5" t="s">
        <v>2136</v>
      </c>
      <c r="E514" s="16" t="str">
        <f t="array" ref="E514">_xlfn.XLOOKUP(F514, Filmes!$D$2:$D$344, Filmes!$A$2:$A$344, "")</f>
        <v>169</v>
      </c>
      <c r="F514" s="7" t="s">
        <v>2240</v>
      </c>
      <c r="G514" s="17" t="s">
        <v>4149</v>
      </c>
      <c r="H514" s="17" t="s">
        <v>4150</v>
      </c>
      <c r="I514" s="18"/>
      <c r="J514" s="5"/>
      <c r="K514" s="5" t="s">
        <v>65</v>
      </c>
      <c r="L514" s="5"/>
      <c r="M514" s="5"/>
    </row>
    <row r="515" ht="15.75" customHeight="1">
      <c r="A515" s="14">
        <v>46297.0</v>
      </c>
      <c r="B515" s="5" t="s">
        <v>4135</v>
      </c>
      <c r="C515" s="15">
        <v>0.5833333333333334</v>
      </c>
      <c r="D515" s="5" t="s">
        <v>2136</v>
      </c>
      <c r="E515" s="16" t="str">
        <f t="array" ref="E515">_xlfn.XLOOKUP(F515, Filmes!$D$2:$D$344, Filmes!$A$2:$A$344, "")</f>
        <v>170</v>
      </c>
      <c r="F515" s="7" t="s">
        <v>2248</v>
      </c>
      <c r="G515" s="17" t="s">
        <v>4151</v>
      </c>
      <c r="H515" s="17" t="s">
        <v>4148</v>
      </c>
      <c r="I515" s="18"/>
      <c r="J515" s="5"/>
      <c r="K515" s="5" t="s">
        <v>65</v>
      </c>
      <c r="L515" s="5"/>
      <c r="M515" s="5"/>
    </row>
    <row r="516" ht="15.75" customHeight="1">
      <c r="A516" s="14">
        <v>46298.0</v>
      </c>
      <c r="B516" s="5" t="s">
        <v>4127</v>
      </c>
      <c r="C516" s="15">
        <v>0.6666666666666666</v>
      </c>
      <c r="D516" s="5" t="s">
        <v>2136</v>
      </c>
      <c r="E516" s="16" t="str">
        <f t="array" ref="E516">_xlfn.XLOOKUP(F516, Filmes!$D$2:$D$344, Filmes!$A$2:$A$344, "")</f>
        <v>170</v>
      </c>
      <c r="F516" s="7" t="s">
        <v>2248</v>
      </c>
      <c r="G516" s="17" t="s">
        <v>4145</v>
      </c>
      <c r="H516" s="17" t="s">
        <v>4146</v>
      </c>
      <c r="I516" s="18"/>
      <c r="J516" s="5"/>
      <c r="K516" s="5" t="s">
        <v>65</v>
      </c>
      <c r="L516" s="5"/>
      <c r="M516" s="5"/>
    </row>
    <row r="517" ht="15.75" customHeight="1">
      <c r="A517" s="14">
        <v>46305.0</v>
      </c>
      <c r="B517" s="5" t="s">
        <v>4127</v>
      </c>
      <c r="C517" s="15">
        <v>0.75</v>
      </c>
      <c r="D517" s="5" t="s">
        <v>2136</v>
      </c>
      <c r="E517" s="16" t="str">
        <f t="array" ref="E517">_xlfn.XLOOKUP(F517, Filmes!$D$2:$D$344, Filmes!$A$2:$A$344, "")</f>
        <v>171</v>
      </c>
      <c r="F517" s="7" t="s">
        <v>2255</v>
      </c>
      <c r="G517" s="17" t="s">
        <v>4147</v>
      </c>
      <c r="H517" s="17" t="s">
        <v>4148</v>
      </c>
      <c r="I517" s="18"/>
      <c r="J517" s="5"/>
      <c r="K517" s="5" t="s">
        <v>65</v>
      </c>
      <c r="L517" s="5"/>
      <c r="M517" s="5"/>
    </row>
    <row r="518" ht="15.75" customHeight="1">
      <c r="A518" s="14">
        <v>46304.0</v>
      </c>
      <c r="B518" s="5" t="s">
        <v>4135</v>
      </c>
      <c r="C518" s="15">
        <v>0.6666666666666666</v>
      </c>
      <c r="D518" s="5" t="s">
        <v>2136</v>
      </c>
      <c r="E518" s="16" t="str">
        <f t="array" ref="E518">_xlfn.XLOOKUP(F518, Filmes!$D$2:$D$344, Filmes!$A$2:$A$344, "")</f>
        <v>172</v>
      </c>
      <c r="F518" s="7" t="s">
        <v>2263</v>
      </c>
      <c r="G518" s="17" t="s">
        <v>4147</v>
      </c>
      <c r="H518" s="17" t="s">
        <v>4148</v>
      </c>
      <c r="I518" s="18"/>
      <c r="J518" s="5"/>
      <c r="K518" s="5" t="s">
        <v>65</v>
      </c>
      <c r="L518" s="5"/>
      <c r="M518" s="5"/>
    </row>
    <row r="519" ht="15.75" customHeight="1">
      <c r="A519" s="14">
        <v>46303.0</v>
      </c>
      <c r="B519" s="5" t="s">
        <v>4124</v>
      </c>
      <c r="C519" s="15">
        <v>0.75</v>
      </c>
      <c r="D519" s="5" t="s">
        <v>2136</v>
      </c>
      <c r="E519" s="16" t="str">
        <f t="array" ref="E519">_xlfn.XLOOKUP(F519, Filmes!$D$2:$D$344, Filmes!$A$2:$A$344, "")</f>
        <v>173</v>
      </c>
      <c r="F519" s="7" t="s">
        <v>2270</v>
      </c>
      <c r="G519" s="17" t="s">
        <v>4147</v>
      </c>
      <c r="H519" s="17" t="s">
        <v>4148</v>
      </c>
      <c r="I519" s="18"/>
      <c r="J519" s="5"/>
      <c r="K519" s="5" t="s">
        <v>65</v>
      </c>
      <c r="L519" s="5"/>
      <c r="M519" s="5"/>
    </row>
    <row r="520" ht="15.75" customHeight="1">
      <c r="A520" s="14">
        <v>46301.0</v>
      </c>
      <c r="B520" s="5" t="s">
        <v>4121</v>
      </c>
      <c r="C520" s="15">
        <v>0.6875</v>
      </c>
      <c r="D520" s="5" t="s">
        <v>2136</v>
      </c>
      <c r="E520" s="16" t="str">
        <f t="array" ref="E520">_xlfn.XLOOKUP(F520, Filmes!$D$2:$D$344, Filmes!$A$2:$A$344, "")</f>
        <v>174</v>
      </c>
      <c r="F520" s="7" t="s">
        <v>2277</v>
      </c>
      <c r="G520" s="17" t="s">
        <v>4147</v>
      </c>
      <c r="H520" s="17" t="s">
        <v>4148</v>
      </c>
      <c r="I520" s="18"/>
      <c r="J520" s="5"/>
      <c r="K520" s="5" t="s">
        <v>65</v>
      </c>
      <c r="L520" s="5"/>
      <c r="M520" s="5"/>
    </row>
    <row r="521" ht="15.75" customHeight="1">
      <c r="A521" s="14">
        <v>46298.0</v>
      </c>
      <c r="B521" s="5" t="s">
        <v>4127</v>
      </c>
      <c r="C521" s="15">
        <v>0.6666666666666666</v>
      </c>
      <c r="D521" s="5" t="s">
        <v>2136</v>
      </c>
      <c r="E521" s="16" t="str">
        <f t="array" ref="E521">_xlfn.XLOOKUP(F521, Filmes!$D$2:$D$344, Filmes!$A$2:$A$344, "")</f>
        <v>175</v>
      </c>
      <c r="F521" s="7" t="s">
        <v>2284</v>
      </c>
      <c r="G521" s="17" t="s">
        <v>4151</v>
      </c>
      <c r="H521" s="17" t="s">
        <v>4148</v>
      </c>
      <c r="I521" s="18"/>
      <c r="J521" s="5"/>
      <c r="K521" s="5" t="s">
        <v>65</v>
      </c>
      <c r="L521" s="5"/>
      <c r="M521" s="5"/>
    </row>
    <row r="522" ht="15.75" customHeight="1">
      <c r="A522" s="14">
        <v>46306.0</v>
      </c>
      <c r="B522" s="5" t="s">
        <v>4136</v>
      </c>
      <c r="C522" s="15">
        <v>0.5833333333333334</v>
      </c>
      <c r="D522" s="5" t="s">
        <v>2136</v>
      </c>
      <c r="E522" s="16" t="str">
        <f t="array" ref="E522">_xlfn.XLOOKUP(F522, Filmes!$D$2:$D$344, Filmes!$A$2:$A$344, "")</f>
        <v>176</v>
      </c>
      <c r="F522" s="7" t="s">
        <v>2292</v>
      </c>
      <c r="G522" s="17" t="s">
        <v>4147</v>
      </c>
      <c r="H522" s="17" t="s">
        <v>4148</v>
      </c>
      <c r="I522" s="18"/>
      <c r="J522" s="5"/>
      <c r="K522" s="5" t="s">
        <v>65</v>
      </c>
      <c r="L522" s="5"/>
      <c r="M522" s="5"/>
    </row>
    <row r="523" ht="15.75" customHeight="1">
      <c r="A523" s="14">
        <v>46300.0</v>
      </c>
      <c r="B523" s="5" t="s">
        <v>4132</v>
      </c>
      <c r="C523" s="15">
        <v>0.6666666666666666</v>
      </c>
      <c r="D523" s="5" t="s">
        <v>2136</v>
      </c>
      <c r="E523" s="16" t="str">
        <f t="array" ref="E523">_xlfn.XLOOKUP(F523, Filmes!$D$2:$D$344, Filmes!$A$2:$A$344, "")</f>
        <v>177</v>
      </c>
      <c r="F523" s="7" t="s">
        <v>2299</v>
      </c>
      <c r="G523" s="17" t="s">
        <v>4145</v>
      </c>
      <c r="H523" s="17" t="s">
        <v>4146</v>
      </c>
      <c r="I523" s="18"/>
      <c r="J523" s="5"/>
      <c r="K523" s="5" t="s">
        <v>65</v>
      </c>
      <c r="L523" s="5"/>
      <c r="M523" s="5"/>
    </row>
    <row r="524" ht="15.75" customHeight="1">
      <c r="A524" s="14">
        <v>46306.0</v>
      </c>
      <c r="B524" s="5" t="s">
        <v>4136</v>
      </c>
      <c r="C524" s="15">
        <v>0.8854166666666666</v>
      </c>
      <c r="D524" s="5" t="s">
        <v>2136</v>
      </c>
      <c r="E524" s="16" t="str">
        <f t="array" ref="E524">_xlfn.XLOOKUP(F524, Filmes!$D$2:$D$344, Filmes!$A$2:$A$344, "")</f>
        <v>177</v>
      </c>
      <c r="F524" s="7" t="s">
        <v>2299</v>
      </c>
      <c r="G524" s="17" t="s">
        <v>4152</v>
      </c>
      <c r="H524" s="17" t="s">
        <v>4153</v>
      </c>
      <c r="I524" s="18"/>
      <c r="J524" s="5"/>
      <c r="K524" s="5" t="s">
        <v>65</v>
      </c>
      <c r="L524" s="5"/>
      <c r="M524" s="5"/>
    </row>
    <row r="525" ht="15.75" customHeight="1">
      <c r="A525" s="14">
        <v>46302.0</v>
      </c>
      <c r="B525" s="5" t="s">
        <v>4143</v>
      </c>
      <c r="C525" s="15">
        <v>0.7916666666666666</v>
      </c>
      <c r="D525" s="5" t="s">
        <v>2136</v>
      </c>
      <c r="E525" s="16" t="str">
        <f t="array" ref="E525">_xlfn.XLOOKUP(F525, Filmes!$D$2:$D$344, Filmes!$A$2:$A$344, "")</f>
        <v>178</v>
      </c>
      <c r="F525" s="7" t="s">
        <v>2306</v>
      </c>
      <c r="G525" s="17" t="s">
        <v>4149</v>
      </c>
      <c r="H525" s="17" t="s">
        <v>4150</v>
      </c>
      <c r="I525" s="18"/>
      <c r="J525" s="5"/>
      <c r="K525" s="5" t="s">
        <v>65</v>
      </c>
      <c r="L525" s="5"/>
      <c r="M525" s="5"/>
    </row>
    <row r="526" ht="15.75" customHeight="1">
      <c r="A526" s="14">
        <v>46303.0</v>
      </c>
      <c r="B526" s="5" t="s">
        <v>4124</v>
      </c>
      <c r="C526" s="15">
        <v>0.5833333333333334</v>
      </c>
      <c r="D526" s="5" t="s">
        <v>2136</v>
      </c>
      <c r="E526" s="16" t="str">
        <f t="array" ref="E526">_xlfn.XLOOKUP(F526, Filmes!$D$2:$D$344, Filmes!$A$2:$A$344, "")</f>
        <v>178</v>
      </c>
      <c r="F526" s="7" t="s">
        <v>2306</v>
      </c>
      <c r="G526" s="17" t="s">
        <v>4147</v>
      </c>
      <c r="H526" s="17" t="s">
        <v>4148</v>
      </c>
      <c r="I526" s="18"/>
      <c r="J526" s="5"/>
      <c r="K526" s="5" t="s">
        <v>65</v>
      </c>
      <c r="L526" s="5"/>
      <c r="M526" s="5"/>
    </row>
    <row r="527" ht="15.75" customHeight="1">
      <c r="A527" s="14">
        <v>46297.0</v>
      </c>
      <c r="B527" s="5" t="s">
        <v>4135</v>
      </c>
      <c r="C527" s="15">
        <v>0.6666666666666666</v>
      </c>
      <c r="D527" s="5" t="s">
        <v>2136</v>
      </c>
      <c r="E527" s="16" t="str">
        <f t="array" ref="E527">_xlfn.XLOOKUP(F527, Filmes!$D$2:$D$344, Filmes!$A$2:$A$344, "")</f>
        <v>179</v>
      </c>
      <c r="F527" s="7" t="s">
        <v>2314</v>
      </c>
      <c r="G527" s="17" t="s">
        <v>4145</v>
      </c>
      <c r="H527" s="17" t="s">
        <v>4146</v>
      </c>
      <c r="I527" s="18"/>
      <c r="J527" s="5"/>
      <c r="K527" s="5" t="s">
        <v>65</v>
      </c>
      <c r="L527" s="5"/>
      <c r="M527" s="5"/>
    </row>
    <row r="528" ht="15.75" customHeight="1">
      <c r="A528" s="14">
        <v>46300.0</v>
      </c>
      <c r="B528" s="5" t="s">
        <v>4132</v>
      </c>
      <c r="C528" s="15">
        <v>0.75</v>
      </c>
      <c r="D528" s="5" t="s">
        <v>2136</v>
      </c>
      <c r="E528" s="16" t="str">
        <f t="array" ref="E528">_xlfn.XLOOKUP(F528, Filmes!$D$2:$D$344, Filmes!$A$2:$A$344, "")</f>
        <v>179</v>
      </c>
      <c r="F528" s="7" t="s">
        <v>2314</v>
      </c>
      <c r="G528" s="17" t="s">
        <v>4145</v>
      </c>
      <c r="H528" s="17" t="s">
        <v>4146</v>
      </c>
      <c r="I528" s="18"/>
      <c r="J528" s="5"/>
      <c r="K528" s="5" t="s">
        <v>65</v>
      </c>
      <c r="L528" s="5"/>
      <c r="M528" s="5"/>
    </row>
    <row r="529" ht="15.75" customHeight="1">
      <c r="A529" s="14">
        <v>46303.0</v>
      </c>
      <c r="B529" s="5" t="s">
        <v>4124</v>
      </c>
      <c r="C529" s="15">
        <v>0.7916666666666666</v>
      </c>
      <c r="D529" s="5" t="s">
        <v>2136</v>
      </c>
      <c r="E529" s="16" t="str">
        <f t="array" ref="E529">_xlfn.XLOOKUP(F529, Filmes!$D$2:$D$344, Filmes!$A$2:$A$344, "")</f>
        <v>179</v>
      </c>
      <c r="F529" s="7" t="s">
        <v>2314</v>
      </c>
      <c r="G529" s="17" t="s">
        <v>4149</v>
      </c>
      <c r="H529" s="17" t="s">
        <v>4150</v>
      </c>
      <c r="I529" s="18"/>
      <c r="J529" s="5"/>
      <c r="K529" s="5" t="s">
        <v>65</v>
      </c>
      <c r="L529" s="5"/>
      <c r="M529" s="5"/>
    </row>
    <row r="530" ht="15.75" customHeight="1">
      <c r="A530" s="14">
        <v>46305.0</v>
      </c>
      <c r="B530" s="5" t="s">
        <v>4127</v>
      </c>
      <c r="C530" s="15">
        <v>0.7083333333333334</v>
      </c>
      <c r="D530" s="5" t="s">
        <v>2136</v>
      </c>
      <c r="E530" s="16" t="str">
        <f t="array" ref="E530">_xlfn.XLOOKUP(F530, Filmes!$D$2:$D$344, Filmes!$A$2:$A$344, "")</f>
        <v>179</v>
      </c>
      <c r="F530" s="7" t="s">
        <v>2314</v>
      </c>
      <c r="G530" s="17" t="s">
        <v>4149</v>
      </c>
      <c r="H530" s="17" t="s">
        <v>4150</v>
      </c>
      <c r="I530" s="18"/>
      <c r="J530" s="5"/>
      <c r="K530" s="5" t="s">
        <v>65</v>
      </c>
      <c r="L530" s="5"/>
      <c r="M530" s="5"/>
    </row>
    <row r="531" ht="15.75" customHeight="1">
      <c r="A531" s="14">
        <v>46296.0</v>
      </c>
      <c r="B531" s="5" t="s">
        <v>4124</v>
      </c>
      <c r="C531" s="15">
        <v>0.6666666666666666</v>
      </c>
      <c r="D531" s="5" t="s">
        <v>2136</v>
      </c>
      <c r="E531" s="16" t="str">
        <f t="array" ref="E531">_xlfn.XLOOKUP(F531, Filmes!$D$2:$D$344, Filmes!$A$2:$A$344, "")</f>
        <v>180</v>
      </c>
      <c r="F531" s="7" t="s">
        <v>2321</v>
      </c>
      <c r="G531" s="17" t="s">
        <v>4145</v>
      </c>
      <c r="H531" s="17" t="s">
        <v>4146</v>
      </c>
      <c r="I531" s="18"/>
      <c r="J531" s="5"/>
      <c r="K531" s="5" t="s">
        <v>65</v>
      </c>
      <c r="L531" s="5"/>
      <c r="M531" s="5"/>
    </row>
    <row r="532" ht="15.75" customHeight="1">
      <c r="A532" s="14">
        <v>46298.0</v>
      </c>
      <c r="B532" s="5" t="s">
        <v>4127</v>
      </c>
      <c r="C532" s="15">
        <v>0.5833333333333334</v>
      </c>
      <c r="D532" s="5" t="s">
        <v>2136</v>
      </c>
      <c r="E532" s="16" t="str">
        <f t="array" ref="E532">_xlfn.XLOOKUP(F532, Filmes!$D$2:$D$344, Filmes!$A$2:$A$344, "")</f>
        <v>180</v>
      </c>
      <c r="F532" s="7" t="s">
        <v>2321</v>
      </c>
      <c r="G532" s="17" t="s">
        <v>4151</v>
      </c>
      <c r="H532" s="17" t="s">
        <v>4148</v>
      </c>
      <c r="I532" s="18"/>
      <c r="J532" s="5"/>
      <c r="K532" s="5" t="s">
        <v>65</v>
      </c>
      <c r="L532" s="5"/>
      <c r="M532" s="5"/>
    </row>
    <row r="533" ht="15.75" customHeight="1">
      <c r="A533" s="14">
        <v>46305.0</v>
      </c>
      <c r="B533" s="5" t="s">
        <v>4127</v>
      </c>
      <c r="C533" s="15">
        <v>0.6666666666666666</v>
      </c>
      <c r="D533" s="5" t="s">
        <v>2136</v>
      </c>
      <c r="E533" s="16" t="str">
        <f t="array" ref="E533">_xlfn.XLOOKUP(F533, Filmes!$D$2:$D$344, Filmes!$A$2:$A$344, "")</f>
        <v>180</v>
      </c>
      <c r="F533" s="7" t="s">
        <v>2321</v>
      </c>
      <c r="G533" s="17" t="s">
        <v>4156</v>
      </c>
      <c r="H533" s="17" t="s">
        <v>4157</v>
      </c>
      <c r="I533" s="18"/>
      <c r="J533" s="5"/>
      <c r="K533" s="5" t="s">
        <v>65</v>
      </c>
      <c r="L533" s="5"/>
      <c r="M533" s="5"/>
    </row>
    <row r="534" ht="15.75" customHeight="1">
      <c r="A534" s="14">
        <v>46306.0</v>
      </c>
      <c r="B534" s="5" t="s">
        <v>4136</v>
      </c>
      <c r="C534" s="15">
        <v>0.7083333333333334</v>
      </c>
      <c r="D534" s="5" t="s">
        <v>2136</v>
      </c>
      <c r="E534" s="16" t="str">
        <f t="array" ref="E534">_xlfn.XLOOKUP(F534, Filmes!$D$2:$D$344, Filmes!$A$2:$A$344, "")</f>
        <v>180</v>
      </c>
      <c r="F534" s="7" t="s">
        <v>2321</v>
      </c>
      <c r="G534" s="17" t="s">
        <v>4149</v>
      </c>
      <c r="H534" s="17" t="s">
        <v>4150</v>
      </c>
      <c r="I534" s="18"/>
      <c r="J534" s="5"/>
      <c r="K534" s="5" t="s">
        <v>65</v>
      </c>
      <c r="L534" s="5"/>
      <c r="M534" s="5"/>
    </row>
    <row r="535" ht="15.75" customHeight="1">
      <c r="A535" s="14">
        <v>46301.0</v>
      </c>
      <c r="B535" s="5" t="s">
        <v>4121</v>
      </c>
      <c r="C535" s="15">
        <v>0.6041666666666666</v>
      </c>
      <c r="D535" s="5" t="s">
        <v>2136</v>
      </c>
      <c r="E535" s="16" t="str">
        <f t="array" ref="E535">_xlfn.XLOOKUP(F535, Filmes!$D$2:$D$344, Filmes!$A$2:$A$344, "")</f>
        <v>181</v>
      </c>
      <c r="F535" s="7" t="s">
        <v>2329</v>
      </c>
      <c r="G535" s="17" t="s">
        <v>4147</v>
      </c>
      <c r="H535" s="17" t="s">
        <v>4148</v>
      </c>
      <c r="I535" s="18"/>
      <c r="J535" s="5"/>
      <c r="K535" s="5" t="s">
        <v>65</v>
      </c>
      <c r="L535" s="5"/>
      <c r="M535" s="5"/>
    </row>
    <row r="536" ht="15.75" customHeight="1">
      <c r="A536" s="14">
        <v>46298.0</v>
      </c>
      <c r="B536" s="5" t="s">
        <v>4127</v>
      </c>
      <c r="C536" s="15">
        <v>0.75</v>
      </c>
      <c r="D536" s="5" t="s">
        <v>2136</v>
      </c>
      <c r="E536" s="16" t="str">
        <f t="array" ref="E536">_xlfn.XLOOKUP(F536, Filmes!$D$2:$D$344, Filmes!$A$2:$A$344, "")</f>
        <v>182</v>
      </c>
      <c r="F536" s="7" t="s">
        <v>2337</v>
      </c>
      <c r="G536" s="17" t="s">
        <v>4145</v>
      </c>
      <c r="H536" s="17" t="s">
        <v>4146</v>
      </c>
      <c r="I536" s="19"/>
      <c r="J536" s="5"/>
      <c r="K536" s="5" t="s">
        <v>65</v>
      </c>
      <c r="L536" s="5"/>
      <c r="M536" s="5"/>
    </row>
    <row r="537" ht="15.75" customHeight="1">
      <c r="A537" s="14">
        <v>46301.0</v>
      </c>
      <c r="B537" s="5" t="s">
        <v>4121</v>
      </c>
      <c r="C537" s="15">
        <v>0.7291666666666666</v>
      </c>
      <c r="D537" s="5" t="s">
        <v>2136</v>
      </c>
      <c r="E537" s="16" t="str">
        <f t="array" ref="E537">_xlfn.XLOOKUP(F537, Filmes!$D$2:$D$344, Filmes!$A$2:$A$344, "")</f>
        <v>182</v>
      </c>
      <c r="F537" s="7" t="s">
        <v>2337</v>
      </c>
      <c r="G537" s="17" t="s">
        <v>4154</v>
      </c>
      <c r="H537" s="17" t="s">
        <v>4155</v>
      </c>
      <c r="I537" s="19"/>
      <c r="J537" s="5"/>
      <c r="K537" s="5" t="s">
        <v>65</v>
      </c>
      <c r="L537" s="5"/>
      <c r="M537" s="5"/>
    </row>
    <row r="538" ht="15.75" customHeight="1">
      <c r="A538" s="14">
        <v>46306.0</v>
      </c>
      <c r="B538" s="5" t="s">
        <v>4136</v>
      </c>
      <c r="C538" s="15">
        <v>0.6666666666666666</v>
      </c>
      <c r="D538" s="5" t="s">
        <v>2136</v>
      </c>
      <c r="E538" s="16" t="str">
        <f t="array" ref="E538">_xlfn.XLOOKUP(F538, Filmes!$D$2:$D$344, Filmes!$A$2:$A$344, "")</f>
        <v>182</v>
      </c>
      <c r="F538" s="7" t="s">
        <v>2337</v>
      </c>
      <c r="G538" s="17" t="s">
        <v>4156</v>
      </c>
      <c r="H538" s="17" t="s">
        <v>4157</v>
      </c>
      <c r="I538" s="19"/>
      <c r="J538" s="5"/>
      <c r="K538" s="5" t="s">
        <v>65</v>
      </c>
      <c r="L538" s="5"/>
      <c r="M538" s="5"/>
    </row>
    <row r="539" ht="15.75" customHeight="1">
      <c r="A539" s="14">
        <v>46296.0</v>
      </c>
      <c r="B539" s="5" t="s">
        <v>4124</v>
      </c>
      <c r="C539" s="15">
        <v>0.75</v>
      </c>
      <c r="D539" s="5" t="s">
        <v>2136</v>
      </c>
      <c r="E539" s="16" t="str">
        <f t="array" ref="E539">_xlfn.XLOOKUP(F539, Filmes!$D$2:$D$344, Filmes!$A$2:$A$344, "")</f>
        <v>183</v>
      </c>
      <c r="F539" s="7" t="s">
        <v>2345</v>
      </c>
      <c r="G539" s="17" t="s">
        <v>4145</v>
      </c>
      <c r="H539" s="17" t="s">
        <v>4146</v>
      </c>
      <c r="I539" s="19"/>
      <c r="J539" s="5"/>
      <c r="K539" s="5" t="s">
        <v>65</v>
      </c>
      <c r="L539" s="5"/>
      <c r="M539" s="5"/>
    </row>
    <row r="540" ht="15.75" customHeight="1">
      <c r="A540" s="14">
        <v>46299.0</v>
      </c>
      <c r="B540" s="5" t="s">
        <v>4136</v>
      </c>
      <c r="C540" s="15">
        <v>0.5833333333333334</v>
      </c>
      <c r="D540" s="5" t="s">
        <v>2136</v>
      </c>
      <c r="E540" s="16" t="str">
        <f t="array" ref="E540">_xlfn.XLOOKUP(F540, Filmes!$D$2:$D$344, Filmes!$A$2:$A$344, "")</f>
        <v>183</v>
      </c>
      <c r="F540" s="7" t="s">
        <v>2345</v>
      </c>
      <c r="G540" s="17" t="s">
        <v>4151</v>
      </c>
      <c r="H540" s="17" t="s">
        <v>4148</v>
      </c>
      <c r="I540" s="19"/>
      <c r="J540" s="5"/>
      <c r="K540" s="5" t="s">
        <v>65</v>
      </c>
      <c r="L540" s="5"/>
      <c r="M540" s="5"/>
    </row>
    <row r="541" ht="15.75" customHeight="1">
      <c r="A541" s="14">
        <v>46305.0</v>
      </c>
      <c r="B541" s="5" t="s">
        <v>4127</v>
      </c>
      <c r="C541" s="15">
        <v>0.7916666666666666</v>
      </c>
      <c r="D541" s="5" t="s">
        <v>2136</v>
      </c>
      <c r="E541" s="16" t="str">
        <f t="array" ref="E541">_xlfn.XLOOKUP(F541, Filmes!$D$2:$D$344, Filmes!$A$2:$A$344, "")</f>
        <v>183</v>
      </c>
      <c r="F541" s="7" t="s">
        <v>2345</v>
      </c>
      <c r="G541" s="17" t="s">
        <v>4149</v>
      </c>
      <c r="H541" s="17" t="s">
        <v>4150</v>
      </c>
      <c r="I541" s="19"/>
      <c r="J541" s="5"/>
      <c r="K541" s="5" t="s">
        <v>65</v>
      </c>
      <c r="L541" s="5"/>
      <c r="M541" s="5"/>
    </row>
    <row r="542" ht="15.75" customHeight="1">
      <c r="A542" s="14">
        <v>46306.0</v>
      </c>
      <c r="B542" s="5" t="s">
        <v>4136</v>
      </c>
      <c r="C542" s="15">
        <v>0.75</v>
      </c>
      <c r="D542" s="5" t="s">
        <v>2136</v>
      </c>
      <c r="E542" s="16" t="str">
        <f t="array" ref="E542">_xlfn.XLOOKUP(F542, Filmes!$D$2:$D$344, Filmes!$A$2:$A$344, "")</f>
        <v>183</v>
      </c>
      <c r="F542" s="7" t="s">
        <v>2345</v>
      </c>
      <c r="G542" s="17" t="s">
        <v>4156</v>
      </c>
      <c r="H542" s="17" t="s">
        <v>4157</v>
      </c>
      <c r="I542" s="19"/>
      <c r="J542" s="5"/>
      <c r="K542" s="5" t="s">
        <v>65</v>
      </c>
      <c r="L542" s="5"/>
      <c r="M542" s="5"/>
    </row>
    <row r="543" ht="15.75" customHeight="1">
      <c r="A543" s="14">
        <v>46299.0</v>
      </c>
      <c r="B543" s="5" t="s">
        <v>4136</v>
      </c>
      <c r="C543" s="15">
        <v>0.75</v>
      </c>
      <c r="D543" s="5" t="s">
        <v>2136</v>
      </c>
      <c r="E543" s="16" t="str">
        <f t="array" ref="E543">_xlfn.XLOOKUP(F543, Filmes!$D$2:$D$344, Filmes!$A$2:$A$344, "")</f>
        <v>184</v>
      </c>
      <c r="F543" s="7" t="s">
        <v>2353</v>
      </c>
      <c r="G543" s="17" t="s">
        <v>4151</v>
      </c>
      <c r="H543" s="17" t="s">
        <v>4148</v>
      </c>
      <c r="I543" s="19"/>
      <c r="J543" s="5"/>
      <c r="K543" s="5" t="s">
        <v>65</v>
      </c>
      <c r="L543" s="5"/>
      <c r="M543" s="5"/>
    </row>
    <row r="544" ht="15.75" customHeight="1">
      <c r="A544" s="14">
        <v>46304.0</v>
      </c>
      <c r="B544" s="5" t="s">
        <v>4135</v>
      </c>
      <c r="C544" s="15">
        <v>0.7916666666666666</v>
      </c>
      <c r="D544" s="5" t="s">
        <v>2136</v>
      </c>
      <c r="E544" s="16" t="str">
        <f t="array" ref="E544">_xlfn.XLOOKUP(F544, Filmes!$D$2:$D$344, Filmes!$A$2:$A$344, "")</f>
        <v>184</v>
      </c>
      <c r="F544" s="7" t="s">
        <v>2353</v>
      </c>
      <c r="G544" s="17" t="s">
        <v>4149</v>
      </c>
      <c r="H544" s="17" t="s">
        <v>4150</v>
      </c>
      <c r="I544" s="19"/>
      <c r="J544" s="5"/>
      <c r="K544" s="5" t="s">
        <v>65</v>
      </c>
      <c r="L544" s="5"/>
      <c r="M544" s="5"/>
    </row>
    <row r="545" ht="15.75" customHeight="1">
      <c r="A545" s="14">
        <v>46303.0</v>
      </c>
      <c r="B545" s="5" t="s">
        <v>4124</v>
      </c>
      <c r="C545" s="15">
        <v>0.7083333333333334</v>
      </c>
      <c r="D545" s="5" t="s">
        <v>2136</v>
      </c>
      <c r="E545" s="16" t="str">
        <f t="array" ref="E545">_xlfn.XLOOKUP(F545, Filmes!$D$2:$D$344, Filmes!$A$2:$A$344, "")</f>
        <v>185</v>
      </c>
      <c r="F545" s="7" t="s">
        <v>2360</v>
      </c>
      <c r="G545" s="17" t="s">
        <v>4149</v>
      </c>
      <c r="H545" s="17" t="s">
        <v>4150</v>
      </c>
      <c r="I545" s="19"/>
      <c r="J545" s="5"/>
      <c r="K545" s="5" t="s">
        <v>65</v>
      </c>
      <c r="L545" s="5"/>
      <c r="M545" s="5"/>
    </row>
    <row r="546" ht="15.75" customHeight="1">
      <c r="A546" s="14">
        <v>46306.0</v>
      </c>
      <c r="B546" s="5" t="s">
        <v>4136</v>
      </c>
      <c r="C546" s="15">
        <v>0.75</v>
      </c>
      <c r="D546" s="5" t="s">
        <v>2136</v>
      </c>
      <c r="E546" s="16" t="str">
        <f t="array" ref="E546">_xlfn.XLOOKUP(F546, Filmes!$D$2:$D$344, Filmes!$A$2:$A$344, "")</f>
        <v>185</v>
      </c>
      <c r="F546" s="7" t="s">
        <v>2360</v>
      </c>
      <c r="G546" s="17" t="s">
        <v>4147</v>
      </c>
      <c r="H546" s="17" t="s">
        <v>4148</v>
      </c>
      <c r="I546" s="19"/>
      <c r="J546" s="5"/>
      <c r="K546" s="5" t="s">
        <v>65</v>
      </c>
      <c r="L546" s="5"/>
      <c r="M546" s="5"/>
    </row>
    <row r="547" ht="15.75" customHeight="1">
      <c r="A547" s="14">
        <v>46296.0</v>
      </c>
      <c r="B547" s="5" t="s">
        <v>4124</v>
      </c>
      <c r="C547" s="15">
        <v>0.7916666666666666</v>
      </c>
      <c r="D547" s="5" t="s">
        <v>2368</v>
      </c>
      <c r="E547" s="16" t="str">
        <f t="array" ref="E547">_xlfn.XLOOKUP(F547, Filmes!$D$2:$D$344, Filmes!$A$2:$A$344, "")</f>
        <v>186</v>
      </c>
      <c r="F547" s="7" t="s">
        <v>2370</v>
      </c>
      <c r="G547" s="17" t="s">
        <v>4139</v>
      </c>
      <c r="H547" s="17" t="s">
        <v>4140</v>
      </c>
      <c r="I547" s="19">
        <v>4.0</v>
      </c>
      <c r="J547" s="5"/>
      <c r="K547" s="5"/>
      <c r="L547" s="5"/>
      <c r="M547" s="5"/>
    </row>
    <row r="548" ht="15.75" customHeight="1">
      <c r="A548" s="14">
        <v>46299.0</v>
      </c>
      <c r="B548" s="5" t="s">
        <v>4136</v>
      </c>
      <c r="C548" s="15">
        <v>0.8333333333333334</v>
      </c>
      <c r="D548" s="5" t="s">
        <v>2368</v>
      </c>
      <c r="E548" s="16" t="str">
        <f t="array" ref="E548">_xlfn.XLOOKUP(F548, Filmes!$D$2:$D$344, Filmes!$A$2:$A$344, "")</f>
        <v>186</v>
      </c>
      <c r="F548" s="7" t="s">
        <v>2370</v>
      </c>
      <c r="G548" s="17" t="s">
        <v>4133</v>
      </c>
      <c r="H548" s="17" t="s">
        <v>4134</v>
      </c>
      <c r="I548" s="19">
        <v>1.0</v>
      </c>
      <c r="J548" s="5"/>
      <c r="K548" s="5"/>
      <c r="L548" s="5"/>
      <c r="M548" s="5"/>
    </row>
    <row r="549" ht="15.75" customHeight="1">
      <c r="A549" s="14">
        <v>46303.0</v>
      </c>
      <c r="B549" s="5" t="s">
        <v>4124</v>
      </c>
      <c r="C549" s="15">
        <v>0.6875</v>
      </c>
      <c r="D549" s="5" t="s">
        <v>2368</v>
      </c>
      <c r="E549" s="16" t="str">
        <f t="array" ref="E549">_xlfn.XLOOKUP(F549, Filmes!$D$2:$D$344, Filmes!$A$2:$A$344, "")</f>
        <v>186</v>
      </c>
      <c r="F549" s="7" t="s">
        <v>2370</v>
      </c>
      <c r="G549" s="17" t="s">
        <v>4130</v>
      </c>
      <c r="H549" s="17" t="s">
        <v>4131</v>
      </c>
      <c r="I549" s="19">
        <v>4.0</v>
      </c>
      <c r="J549" s="5"/>
      <c r="K549" s="5"/>
      <c r="L549" s="5"/>
      <c r="M549" s="5"/>
    </row>
    <row r="550" ht="15.75" customHeight="1">
      <c r="A550" s="14">
        <v>46299.0</v>
      </c>
      <c r="B550" s="5" t="s">
        <v>4136</v>
      </c>
      <c r="C550" s="15">
        <v>0.7083333333333334</v>
      </c>
      <c r="D550" s="5" t="s">
        <v>2368</v>
      </c>
      <c r="E550" s="16" t="str">
        <f t="array" ref="E550">_xlfn.XLOOKUP(F550, Filmes!$D$2:$D$344, Filmes!$A$2:$A$344, "")</f>
        <v>187</v>
      </c>
      <c r="F550" s="7" t="s">
        <v>2383</v>
      </c>
      <c r="G550" s="17" t="s">
        <v>4128</v>
      </c>
      <c r="H550" s="17" t="s">
        <v>4129</v>
      </c>
      <c r="I550" s="19">
        <v>4.0</v>
      </c>
      <c r="J550" s="5"/>
      <c r="K550" s="5"/>
      <c r="L550" s="5"/>
      <c r="M550" s="5"/>
    </row>
    <row r="551" ht="15.75" customHeight="1">
      <c r="A551" s="14">
        <v>46302.0</v>
      </c>
      <c r="B551" s="5" t="s">
        <v>4143</v>
      </c>
      <c r="C551" s="15">
        <v>0.5833333333333334</v>
      </c>
      <c r="D551" s="5" t="s">
        <v>2368</v>
      </c>
      <c r="E551" s="16" t="str">
        <f t="array" ref="E551">_xlfn.XLOOKUP(F551, Filmes!$D$2:$D$344, Filmes!$A$2:$A$344, "")</f>
        <v>187</v>
      </c>
      <c r="F551" s="7" t="s">
        <v>2383</v>
      </c>
      <c r="G551" s="17" t="s">
        <v>4137</v>
      </c>
      <c r="H551" s="17" t="s">
        <v>4138</v>
      </c>
      <c r="I551" s="19">
        <v>1.0</v>
      </c>
      <c r="J551" s="5"/>
      <c r="K551" s="5"/>
      <c r="L551" s="5"/>
      <c r="M551" s="5"/>
    </row>
    <row r="552" ht="15.75" customHeight="1">
      <c r="A552" s="14">
        <v>46304.0</v>
      </c>
      <c r="B552" s="5" t="s">
        <v>4135</v>
      </c>
      <c r="C552" s="15">
        <v>0.875</v>
      </c>
      <c r="D552" s="5" t="s">
        <v>2368</v>
      </c>
      <c r="E552" s="16" t="str">
        <f t="array" ref="E552">_xlfn.XLOOKUP(F552, Filmes!$D$2:$D$344, Filmes!$A$2:$A$344, "")</f>
        <v>187</v>
      </c>
      <c r="F552" s="7" t="s">
        <v>2383</v>
      </c>
      <c r="G552" s="17" t="s">
        <v>4130</v>
      </c>
      <c r="H552" s="17" t="s">
        <v>4131</v>
      </c>
      <c r="I552" s="19">
        <v>2.0</v>
      </c>
      <c r="J552" s="5"/>
      <c r="K552" s="5"/>
      <c r="L552" s="5"/>
      <c r="M552" s="5"/>
    </row>
    <row r="553" ht="15.75" customHeight="1">
      <c r="A553" s="14">
        <v>46296.0</v>
      </c>
      <c r="B553" s="5" t="s">
        <v>4124</v>
      </c>
      <c r="C553" s="15">
        <v>0.6979166666666666</v>
      </c>
      <c r="D553" s="5" t="s">
        <v>2368</v>
      </c>
      <c r="E553" s="16" t="str">
        <f t="array" ref="E553">_xlfn.XLOOKUP(F553, Filmes!$D$2:$D$344, Filmes!$A$2:$A$344, "")</f>
        <v>188</v>
      </c>
      <c r="F553" s="7" t="s">
        <v>2398</v>
      </c>
      <c r="G553" s="17" t="s">
        <v>4130</v>
      </c>
      <c r="H553" s="17" t="s">
        <v>4131</v>
      </c>
      <c r="I553" s="19">
        <v>6.0</v>
      </c>
      <c r="J553" s="5"/>
      <c r="K553" s="5"/>
      <c r="L553" s="5"/>
      <c r="M553" s="5"/>
    </row>
    <row r="554" ht="15.75" customHeight="1">
      <c r="A554" s="14">
        <v>46298.0</v>
      </c>
      <c r="B554" s="5" t="s">
        <v>4127</v>
      </c>
      <c r="C554" s="15">
        <v>0.5833333333333334</v>
      </c>
      <c r="D554" s="5" t="s">
        <v>2368</v>
      </c>
      <c r="E554" s="16" t="str">
        <f t="array" ref="E554">_xlfn.XLOOKUP(F554, Filmes!$D$2:$D$344, Filmes!$A$2:$A$344, "")</f>
        <v>188</v>
      </c>
      <c r="F554" s="7" t="s">
        <v>2398</v>
      </c>
      <c r="G554" s="17" t="s">
        <v>4139</v>
      </c>
      <c r="H554" s="17" t="s">
        <v>4140</v>
      </c>
      <c r="I554" s="19">
        <v>3.0</v>
      </c>
      <c r="J554" s="5"/>
      <c r="K554" s="5"/>
      <c r="L554" s="5"/>
      <c r="M554" s="5"/>
    </row>
    <row r="555" ht="15.75" customHeight="1">
      <c r="A555" s="14">
        <v>46304.0</v>
      </c>
      <c r="B555" s="5" t="s">
        <v>4135</v>
      </c>
      <c r="C555" s="15">
        <v>0.8402777777777778</v>
      </c>
      <c r="D555" s="5" t="s">
        <v>2368</v>
      </c>
      <c r="E555" s="16" t="str">
        <f t="array" ref="E555">_xlfn.XLOOKUP(F555, Filmes!$D$2:$D$344, Filmes!$A$2:$A$344, "")</f>
        <v>188</v>
      </c>
      <c r="F555" s="7" t="s">
        <v>2398</v>
      </c>
      <c r="G555" s="17" t="s">
        <v>4141</v>
      </c>
      <c r="H555" s="17" t="s">
        <v>4142</v>
      </c>
      <c r="I555" s="19"/>
      <c r="J555" s="5"/>
      <c r="K555" s="5"/>
      <c r="L555" s="5"/>
      <c r="M555" s="5"/>
    </row>
    <row r="556" ht="15.75" customHeight="1">
      <c r="A556" s="14">
        <v>46298.0</v>
      </c>
      <c r="B556" s="5" t="s">
        <v>4127</v>
      </c>
      <c r="C556" s="15">
        <v>0.6666666666666666</v>
      </c>
      <c r="D556" s="5" t="s">
        <v>2368</v>
      </c>
      <c r="E556" s="16" t="str">
        <f t="array" ref="E556">_xlfn.XLOOKUP(F556, Filmes!$D$2:$D$344, Filmes!$A$2:$A$344, "")</f>
        <v>189</v>
      </c>
      <c r="F556" s="7" t="s">
        <v>2411</v>
      </c>
      <c r="G556" s="17" t="s">
        <v>4130</v>
      </c>
      <c r="H556" s="17" t="s">
        <v>4131</v>
      </c>
      <c r="I556" s="19">
        <v>4.0</v>
      </c>
      <c r="J556" s="10"/>
      <c r="K556" s="5"/>
      <c r="L556" s="5" t="s">
        <v>65</v>
      </c>
      <c r="M556" s="5" t="s">
        <v>65</v>
      </c>
    </row>
    <row r="557" ht="15.75" customHeight="1">
      <c r="A557" s="14">
        <v>46305.0</v>
      </c>
      <c r="B557" s="5" t="s">
        <v>4127</v>
      </c>
      <c r="C557" s="15">
        <v>0.7395833333333334</v>
      </c>
      <c r="D557" s="5" t="s">
        <v>2368</v>
      </c>
      <c r="E557" s="16" t="str">
        <f t="array" ref="E557">_xlfn.XLOOKUP(F557, Filmes!$D$2:$D$344, Filmes!$A$2:$A$344, "")</f>
        <v>189</v>
      </c>
      <c r="F557" s="7" t="s">
        <v>2411</v>
      </c>
      <c r="G557" s="17" t="s">
        <v>4133</v>
      </c>
      <c r="H557" s="17" t="s">
        <v>4134</v>
      </c>
      <c r="I557" s="19">
        <v>2.0</v>
      </c>
      <c r="J557" s="5"/>
      <c r="K557" s="5"/>
      <c r="L557" s="5"/>
      <c r="M557" s="5"/>
    </row>
    <row r="558" ht="15.75" customHeight="1">
      <c r="A558" s="14">
        <v>46298.0</v>
      </c>
      <c r="B558" s="5" t="s">
        <v>4127</v>
      </c>
      <c r="C558" s="15">
        <v>0.7604166666666666</v>
      </c>
      <c r="D558" s="5" t="s">
        <v>2368</v>
      </c>
      <c r="E558" s="16" t="str">
        <f t="array" ref="E558">_xlfn.XLOOKUP(F558, Filmes!$D$2:$D$344, Filmes!$A$2:$A$344, "")</f>
        <v>190</v>
      </c>
      <c r="F558" s="7" t="s">
        <v>2422</v>
      </c>
      <c r="G558" s="17" t="s">
        <v>4141</v>
      </c>
      <c r="H558" s="17" t="s">
        <v>4142</v>
      </c>
      <c r="I558" s="19"/>
      <c r="J558" s="5"/>
      <c r="K558" s="5"/>
      <c r="L558" s="5"/>
      <c r="M558" s="5"/>
    </row>
    <row r="559" ht="15.75" customHeight="1">
      <c r="A559" s="14">
        <v>46300.0</v>
      </c>
      <c r="B559" s="5" t="s">
        <v>4132</v>
      </c>
      <c r="C559" s="15">
        <v>0.8958333333333334</v>
      </c>
      <c r="D559" s="5" t="s">
        <v>2368</v>
      </c>
      <c r="E559" s="16" t="str">
        <f t="array" ref="E559">_xlfn.XLOOKUP(F559, Filmes!$D$2:$D$344, Filmes!$A$2:$A$344, "")</f>
        <v>190</v>
      </c>
      <c r="F559" s="7" t="s">
        <v>2422</v>
      </c>
      <c r="G559" s="17" t="s">
        <v>4130</v>
      </c>
      <c r="H559" s="17" t="s">
        <v>4131</v>
      </c>
      <c r="I559" s="19">
        <v>1.0</v>
      </c>
      <c r="J559" s="5"/>
      <c r="K559" s="5"/>
      <c r="L559" s="5"/>
      <c r="M559" s="5"/>
    </row>
    <row r="560" ht="15.75" customHeight="1">
      <c r="A560" s="14">
        <v>46302.0</v>
      </c>
      <c r="B560" s="5" t="s">
        <v>4143</v>
      </c>
      <c r="C560" s="15">
        <v>0.6979166666666666</v>
      </c>
      <c r="D560" s="5" t="s">
        <v>2368</v>
      </c>
      <c r="E560" s="16" t="str">
        <f t="array" ref="E560">_xlfn.XLOOKUP(F560, Filmes!$D$2:$D$344, Filmes!$A$2:$A$344, "")</f>
        <v>190</v>
      </c>
      <c r="F560" s="7" t="s">
        <v>2422</v>
      </c>
      <c r="G560" s="17" t="s">
        <v>4128</v>
      </c>
      <c r="H560" s="17" t="s">
        <v>4129</v>
      </c>
      <c r="I560" s="19">
        <v>2.0</v>
      </c>
      <c r="J560" s="5"/>
      <c r="K560" s="5"/>
      <c r="L560" s="5"/>
      <c r="M560" s="5"/>
    </row>
    <row r="561" ht="15.75" customHeight="1">
      <c r="A561" s="14">
        <v>46296.0</v>
      </c>
      <c r="B561" s="5" t="s">
        <v>4124</v>
      </c>
      <c r="C561" s="15">
        <v>0.6770833333333334</v>
      </c>
      <c r="D561" s="5" t="s">
        <v>2368</v>
      </c>
      <c r="E561" s="16" t="str">
        <f t="array" ref="E561">_xlfn.XLOOKUP(F561, Filmes!$D$2:$D$344, Filmes!$A$2:$A$344, "")</f>
        <v>191</v>
      </c>
      <c r="F561" s="7" t="s">
        <v>2434</v>
      </c>
      <c r="G561" s="17" t="s">
        <v>4133</v>
      </c>
      <c r="H561" s="17" t="s">
        <v>4134</v>
      </c>
      <c r="I561" s="19">
        <v>2.0</v>
      </c>
      <c r="J561" s="5" t="s">
        <v>4158</v>
      </c>
      <c r="K561" s="5"/>
      <c r="L561" s="5"/>
      <c r="M561" s="5"/>
    </row>
    <row r="562" ht="15.75" customHeight="1">
      <c r="A562" s="14">
        <v>46298.0</v>
      </c>
      <c r="B562" s="5" t="s">
        <v>4127</v>
      </c>
      <c r="C562" s="15">
        <v>0.59375</v>
      </c>
      <c r="D562" s="5" t="s">
        <v>2368</v>
      </c>
      <c r="E562" s="16" t="str">
        <f t="array" ref="E562">_xlfn.XLOOKUP(F562, Filmes!$D$2:$D$344, Filmes!$A$2:$A$344, "")</f>
        <v>191</v>
      </c>
      <c r="F562" s="7" t="s">
        <v>2434</v>
      </c>
      <c r="G562" s="17" t="s">
        <v>4130</v>
      </c>
      <c r="H562" s="17" t="s">
        <v>4131</v>
      </c>
      <c r="I562" s="19">
        <v>6.0</v>
      </c>
      <c r="J562" s="5" t="s">
        <v>4158</v>
      </c>
      <c r="K562" s="5"/>
      <c r="L562" s="5"/>
      <c r="M562" s="5"/>
    </row>
    <row r="563" ht="15.75" customHeight="1">
      <c r="A563" s="14">
        <v>46297.0</v>
      </c>
      <c r="B563" s="5" t="s">
        <v>4135</v>
      </c>
      <c r="C563" s="15">
        <v>0.8958333333333334</v>
      </c>
      <c r="D563" s="5" t="s">
        <v>2368</v>
      </c>
      <c r="E563" s="16" t="str">
        <f t="array" ref="E563">_xlfn.XLOOKUP(F563, Filmes!$D$2:$D$344, Filmes!$A$2:$A$344, "")</f>
        <v>192</v>
      </c>
      <c r="F563" s="7" t="s">
        <v>2446</v>
      </c>
      <c r="G563" s="17" t="s">
        <v>4128</v>
      </c>
      <c r="H563" s="17" t="s">
        <v>4129</v>
      </c>
      <c r="I563" s="19">
        <v>1.0</v>
      </c>
      <c r="J563" s="5" t="s">
        <v>4159</v>
      </c>
      <c r="K563" s="5"/>
      <c r="L563" s="5"/>
      <c r="M563" s="5"/>
    </row>
    <row r="564" ht="15.75" customHeight="1">
      <c r="A564" s="14">
        <v>46299.0</v>
      </c>
      <c r="B564" s="5" t="s">
        <v>4136</v>
      </c>
      <c r="C564" s="15">
        <v>0.5833333333333334</v>
      </c>
      <c r="D564" s="5" t="s">
        <v>2368</v>
      </c>
      <c r="E564" s="16" t="str">
        <f t="array" ref="E564">_xlfn.XLOOKUP(F564, Filmes!$D$2:$D$344, Filmes!$A$2:$A$344, "")</f>
        <v>192</v>
      </c>
      <c r="F564" s="7" t="s">
        <v>2446</v>
      </c>
      <c r="G564" s="17" t="s">
        <v>4139</v>
      </c>
      <c r="H564" s="17" t="s">
        <v>4140</v>
      </c>
      <c r="I564" s="19">
        <v>5.0</v>
      </c>
      <c r="J564" s="5" t="s">
        <v>4159</v>
      </c>
      <c r="K564" s="5"/>
      <c r="L564" s="5"/>
      <c r="M564" s="5"/>
    </row>
    <row r="565" ht="15.75" customHeight="1">
      <c r="A565" s="14">
        <v>46301.0</v>
      </c>
      <c r="B565" s="5" t="s">
        <v>4121</v>
      </c>
      <c r="C565" s="15">
        <v>0.6875</v>
      </c>
      <c r="D565" s="5" t="s">
        <v>2368</v>
      </c>
      <c r="E565" s="16" t="str">
        <f t="array" ref="E565">_xlfn.XLOOKUP(F565, Filmes!$D$2:$D$344, Filmes!$A$2:$A$344, "")</f>
        <v>192</v>
      </c>
      <c r="F565" s="7" t="s">
        <v>2446</v>
      </c>
      <c r="G565" s="17" t="s">
        <v>4130</v>
      </c>
      <c r="H565" s="17" t="s">
        <v>4131</v>
      </c>
      <c r="I565" s="19">
        <v>4.0</v>
      </c>
      <c r="J565" s="5" t="s">
        <v>4159</v>
      </c>
      <c r="K565" s="5"/>
      <c r="L565" s="5"/>
      <c r="M565" s="5"/>
    </row>
    <row r="566" ht="15.75" customHeight="1">
      <c r="A566" s="14">
        <v>46299.0</v>
      </c>
      <c r="B566" s="5" t="s">
        <v>4136</v>
      </c>
      <c r="C566" s="15">
        <v>0.875</v>
      </c>
      <c r="D566" s="5" t="s">
        <v>2368</v>
      </c>
      <c r="E566" s="16" t="str">
        <f t="array" ref="E566">_xlfn.XLOOKUP(F566, Filmes!$D$2:$D$344, Filmes!$A$2:$A$344, "")</f>
        <v>193</v>
      </c>
      <c r="F566" s="7" t="s">
        <v>2451</v>
      </c>
      <c r="G566" s="17" t="s">
        <v>4139</v>
      </c>
      <c r="H566" s="17" t="s">
        <v>4140</v>
      </c>
      <c r="I566" s="19">
        <v>5.0</v>
      </c>
      <c r="J566" s="5" t="s">
        <v>4160</v>
      </c>
      <c r="K566" s="5"/>
      <c r="L566" s="5"/>
      <c r="M566" s="5"/>
    </row>
    <row r="567" ht="15.75" customHeight="1">
      <c r="A567" s="14">
        <v>46301.0</v>
      </c>
      <c r="B567" s="5" t="s">
        <v>4121</v>
      </c>
      <c r="C567" s="15">
        <v>0.7083333333333334</v>
      </c>
      <c r="D567" s="5" t="s">
        <v>2368</v>
      </c>
      <c r="E567" s="16" t="str">
        <f t="array" ref="E567">_xlfn.XLOOKUP(F567, Filmes!$D$2:$D$344, Filmes!$A$2:$A$344, "")</f>
        <v>193</v>
      </c>
      <c r="F567" s="7" t="s">
        <v>2451</v>
      </c>
      <c r="G567" s="17" t="s">
        <v>4128</v>
      </c>
      <c r="H567" s="17" t="s">
        <v>4129</v>
      </c>
      <c r="I567" s="19">
        <v>4.0</v>
      </c>
      <c r="J567" s="5" t="s">
        <v>4160</v>
      </c>
      <c r="K567" s="5"/>
      <c r="L567" s="5"/>
      <c r="M567" s="5"/>
    </row>
    <row r="568" ht="15.75" customHeight="1">
      <c r="A568" s="14">
        <v>46306.0</v>
      </c>
      <c r="B568" s="5" t="s">
        <v>4136</v>
      </c>
      <c r="C568" s="15">
        <v>0.5625</v>
      </c>
      <c r="D568" s="5" t="s">
        <v>2368</v>
      </c>
      <c r="E568" s="16" t="str">
        <f t="array" ref="E568">_xlfn.XLOOKUP(F568, Filmes!$D$2:$D$344, Filmes!$A$2:$A$344, "")</f>
        <v>193</v>
      </c>
      <c r="F568" s="7" t="s">
        <v>2451</v>
      </c>
      <c r="G568" s="17" t="s">
        <v>4130</v>
      </c>
      <c r="H568" s="17" t="s">
        <v>4131</v>
      </c>
      <c r="I568" s="19">
        <v>2.0</v>
      </c>
      <c r="J568" s="5" t="s">
        <v>4160</v>
      </c>
      <c r="K568" s="5"/>
      <c r="L568" s="5"/>
      <c r="M568" s="5"/>
    </row>
    <row r="569" ht="15.75" customHeight="1">
      <c r="A569" s="14">
        <v>46299.0</v>
      </c>
      <c r="B569" s="5" t="s">
        <v>4136</v>
      </c>
      <c r="C569" s="15">
        <v>0.6875</v>
      </c>
      <c r="D569" s="5" t="s">
        <v>2368</v>
      </c>
      <c r="E569" s="16" t="str">
        <f t="array" ref="E569">_xlfn.XLOOKUP(F569, Filmes!$D$2:$D$344, Filmes!$A$2:$A$344, "")</f>
        <v>194</v>
      </c>
      <c r="F569" s="7" t="s">
        <v>2455</v>
      </c>
      <c r="G569" s="17" t="s">
        <v>4128</v>
      </c>
      <c r="H569" s="17" t="s">
        <v>4129</v>
      </c>
      <c r="I569" s="19">
        <v>1.0</v>
      </c>
      <c r="J569" s="5" t="s">
        <v>4161</v>
      </c>
      <c r="K569" s="5"/>
      <c r="L569" s="5"/>
      <c r="M569" s="5"/>
    </row>
    <row r="570" ht="15.75" customHeight="1">
      <c r="A570" s="14">
        <v>46302.0</v>
      </c>
      <c r="B570" s="5" t="s">
        <v>4143</v>
      </c>
      <c r="C570" s="15">
        <v>0.8958333333333334</v>
      </c>
      <c r="D570" s="5" t="s">
        <v>2368</v>
      </c>
      <c r="E570" s="16" t="str">
        <f t="array" ref="E570">_xlfn.XLOOKUP(F570, Filmes!$D$2:$D$344, Filmes!$A$2:$A$344, "")</f>
        <v>194</v>
      </c>
      <c r="F570" s="7" t="s">
        <v>2455</v>
      </c>
      <c r="G570" s="17" t="s">
        <v>4139</v>
      </c>
      <c r="H570" s="17" t="s">
        <v>4140</v>
      </c>
      <c r="I570" s="19">
        <v>4.0</v>
      </c>
      <c r="J570" s="5" t="s">
        <v>4161</v>
      </c>
      <c r="K570" s="5"/>
      <c r="L570" s="5"/>
      <c r="M570" s="5"/>
    </row>
    <row r="571" ht="15.75" customHeight="1">
      <c r="A571" s="14">
        <v>46306.0</v>
      </c>
      <c r="B571" s="5" t="s">
        <v>4136</v>
      </c>
      <c r="C571" s="15">
        <v>0.7916666666666666</v>
      </c>
      <c r="D571" s="5" t="s">
        <v>2368</v>
      </c>
      <c r="E571" s="16" t="str">
        <f t="array" ref="E571">_xlfn.XLOOKUP(F571, Filmes!$D$2:$D$344, Filmes!$A$2:$A$344, "")</f>
        <v>194</v>
      </c>
      <c r="F571" s="7" t="s">
        <v>2455</v>
      </c>
      <c r="G571" s="17" t="s">
        <v>4130</v>
      </c>
      <c r="H571" s="17" t="s">
        <v>4131</v>
      </c>
      <c r="I571" s="19">
        <v>4.0</v>
      </c>
      <c r="J571" s="5" t="s">
        <v>4161</v>
      </c>
      <c r="K571" s="5"/>
      <c r="L571" s="5"/>
      <c r="M571" s="5"/>
    </row>
    <row r="572" ht="15.75" customHeight="1">
      <c r="A572" s="14">
        <v>46299.0</v>
      </c>
      <c r="B572" s="5" t="s">
        <v>4136</v>
      </c>
      <c r="C572" s="15">
        <v>0.6875</v>
      </c>
      <c r="D572" s="5" t="s">
        <v>2368</v>
      </c>
      <c r="E572" s="16" t="str">
        <f t="array" ref="E572">_xlfn.XLOOKUP(F572, Filmes!$D$2:$D$344, Filmes!$A$2:$A$344, "")</f>
        <v>195</v>
      </c>
      <c r="F572" s="7" t="s">
        <v>2460</v>
      </c>
      <c r="G572" s="17" t="s">
        <v>4128</v>
      </c>
      <c r="H572" s="17" t="s">
        <v>4129</v>
      </c>
      <c r="I572" s="19">
        <v>1.0</v>
      </c>
      <c r="J572" s="5" t="s">
        <v>4161</v>
      </c>
      <c r="K572" s="5"/>
      <c r="L572" s="5"/>
      <c r="M572" s="5"/>
    </row>
    <row r="573" ht="15.75" customHeight="1">
      <c r="A573" s="14">
        <v>46302.0</v>
      </c>
      <c r="B573" s="5" t="s">
        <v>4143</v>
      </c>
      <c r="C573" s="15">
        <v>0.8958333333333334</v>
      </c>
      <c r="D573" s="5" t="s">
        <v>2368</v>
      </c>
      <c r="E573" s="16" t="str">
        <f t="array" ref="E573">_xlfn.XLOOKUP(F573, Filmes!$D$2:$D$344, Filmes!$A$2:$A$344, "")</f>
        <v>195</v>
      </c>
      <c r="F573" s="7" t="s">
        <v>2460</v>
      </c>
      <c r="G573" s="17" t="s">
        <v>4139</v>
      </c>
      <c r="H573" s="17" t="s">
        <v>4140</v>
      </c>
      <c r="I573" s="19">
        <v>4.0</v>
      </c>
      <c r="J573" s="5" t="s">
        <v>4161</v>
      </c>
      <c r="K573" s="5"/>
      <c r="L573" s="5"/>
      <c r="M573" s="5"/>
    </row>
    <row r="574" ht="15.75" customHeight="1">
      <c r="A574" s="14">
        <v>46306.0</v>
      </c>
      <c r="B574" s="5" t="s">
        <v>4136</v>
      </c>
      <c r="C574" s="15">
        <v>0.7916666666666666</v>
      </c>
      <c r="D574" s="5" t="s">
        <v>2368</v>
      </c>
      <c r="E574" s="16" t="str">
        <f t="array" ref="E574">_xlfn.XLOOKUP(F574, Filmes!$D$2:$D$344, Filmes!$A$2:$A$344, "")</f>
        <v>195</v>
      </c>
      <c r="F574" s="7" t="s">
        <v>2460</v>
      </c>
      <c r="G574" s="17" t="s">
        <v>4130</v>
      </c>
      <c r="H574" s="17" t="s">
        <v>4131</v>
      </c>
      <c r="I574" s="19">
        <v>4.0</v>
      </c>
      <c r="J574" s="5" t="s">
        <v>4161</v>
      </c>
      <c r="K574" s="5"/>
      <c r="L574" s="5"/>
      <c r="M574" s="5"/>
    </row>
    <row r="575" ht="15.75" customHeight="1">
      <c r="A575" s="14">
        <v>46297.0</v>
      </c>
      <c r="B575" s="5" t="s">
        <v>4135</v>
      </c>
      <c r="C575" s="15">
        <v>0.8958333333333334</v>
      </c>
      <c r="D575" s="5" t="s">
        <v>2368</v>
      </c>
      <c r="E575" s="16" t="str">
        <f t="array" ref="E575">_xlfn.XLOOKUP(F575, Filmes!$D$2:$D$344, Filmes!$A$2:$A$344, "")</f>
        <v>196</v>
      </c>
      <c r="F575" s="7" t="s">
        <v>2464</v>
      </c>
      <c r="G575" s="17" t="s">
        <v>4128</v>
      </c>
      <c r="H575" s="17" t="s">
        <v>4129</v>
      </c>
      <c r="I575" s="19">
        <v>1.0</v>
      </c>
      <c r="J575" s="5" t="s">
        <v>4159</v>
      </c>
      <c r="K575" s="5"/>
      <c r="L575" s="5"/>
      <c r="M575" s="5"/>
    </row>
    <row r="576" ht="15.75" customHeight="1">
      <c r="A576" s="14">
        <v>46299.0</v>
      </c>
      <c r="B576" s="5" t="s">
        <v>4136</v>
      </c>
      <c r="C576" s="15">
        <v>0.5833333333333334</v>
      </c>
      <c r="D576" s="5" t="s">
        <v>2368</v>
      </c>
      <c r="E576" s="16" t="str">
        <f t="array" ref="E576">_xlfn.XLOOKUP(F576, Filmes!$D$2:$D$344, Filmes!$A$2:$A$344, "")</f>
        <v>196</v>
      </c>
      <c r="F576" s="7" t="s">
        <v>2464</v>
      </c>
      <c r="G576" s="17" t="s">
        <v>4139</v>
      </c>
      <c r="H576" s="17" t="s">
        <v>4140</v>
      </c>
      <c r="I576" s="19">
        <v>5.0</v>
      </c>
      <c r="J576" s="5" t="s">
        <v>4159</v>
      </c>
      <c r="K576" s="5"/>
      <c r="L576" s="5"/>
      <c r="M576" s="5"/>
    </row>
    <row r="577" ht="15.75" customHeight="1">
      <c r="A577" s="14">
        <v>46301.0</v>
      </c>
      <c r="B577" s="5" t="s">
        <v>4121</v>
      </c>
      <c r="C577" s="15">
        <v>0.6875</v>
      </c>
      <c r="D577" s="5" t="s">
        <v>2368</v>
      </c>
      <c r="E577" s="16" t="str">
        <f t="array" ref="E577">_xlfn.XLOOKUP(F577, Filmes!$D$2:$D$344, Filmes!$A$2:$A$344, "")</f>
        <v>196</v>
      </c>
      <c r="F577" s="7" t="s">
        <v>2464</v>
      </c>
      <c r="G577" s="17" t="s">
        <v>4130</v>
      </c>
      <c r="H577" s="17" t="s">
        <v>4131</v>
      </c>
      <c r="I577" s="19">
        <v>4.0</v>
      </c>
      <c r="J577" s="5" t="s">
        <v>4159</v>
      </c>
      <c r="K577" s="5"/>
      <c r="L577" s="5"/>
      <c r="M577" s="5"/>
    </row>
    <row r="578" ht="15.75" customHeight="1">
      <c r="A578" s="14">
        <v>46299.0</v>
      </c>
      <c r="B578" s="5" t="s">
        <v>4136</v>
      </c>
      <c r="C578" s="15">
        <v>0.875</v>
      </c>
      <c r="D578" s="5" t="s">
        <v>2368</v>
      </c>
      <c r="E578" s="16" t="str">
        <f t="array" ref="E578">_xlfn.XLOOKUP(F578, Filmes!$D$2:$D$344, Filmes!$A$2:$A$344, "")</f>
        <v>197</v>
      </c>
      <c r="F578" s="7" t="s">
        <v>2467</v>
      </c>
      <c r="G578" s="17" t="s">
        <v>4139</v>
      </c>
      <c r="H578" s="17" t="s">
        <v>4140</v>
      </c>
      <c r="I578" s="19">
        <v>5.0</v>
      </c>
      <c r="J578" s="5" t="s">
        <v>4160</v>
      </c>
      <c r="K578" s="5"/>
      <c r="L578" s="5"/>
      <c r="M578" s="5"/>
    </row>
    <row r="579" ht="15.75" customHeight="1">
      <c r="A579" s="14">
        <v>46301.0</v>
      </c>
      <c r="B579" s="5" t="s">
        <v>4121</v>
      </c>
      <c r="C579" s="15">
        <v>0.7083333333333334</v>
      </c>
      <c r="D579" s="5" t="s">
        <v>2368</v>
      </c>
      <c r="E579" s="16" t="str">
        <f t="array" ref="E579">_xlfn.XLOOKUP(F579, Filmes!$D$2:$D$344, Filmes!$A$2:$A$344, "")</f>
        <v>197</v>
      </c>
      <c r="F579" s="7" t="s">
        <v>2467</v>
      </c>
      <c r="G579" s="17" t="s">
        <v>4128</v>
      </c>
      <c r="H579" s="17" t="s">
        <v>4129</v>
      </c>
      <c r="I579" s="19">
        <v>4.0</v>
      </c>
      <c r="J579" s="5" t="s">
        <v>4160</v>
      </c>
      <c r="K579" s="5"/>
      <c r="L579" s="5"/>
      <c r="M579" s="5"/>
    </row>
    <row r="580" ht="15.75" customHeight="1">
      <c r="A580" s="14">
        <v>46306.0</v>
      </c>
      <c r="B580" s="5" t="s">
        <v>4136</v>
      </c>
      <c r="C580" s="15">
        <v>0.5625</v>
      </c>
      <c r="D580" s="5" t="s">
        <v>2368</v>
      </c>
      <c r="E580" s="16" t="str">
        <f t="array" ref="E580">_xlfn.XLOOKUP(F580, Filmes!$D$2:$D$344, Filmes!$A$2:$A$344, "")</f>
        <v>197</v>
      </c>
      <c r="F580" s="7" t="s">
        <v>2467</v>
      </c>
      <c r="G580" s="17" t="s">
        <v>4130</v>
      </c>
      <c r="H580" s="17" t="s">
        <v>4131</v>
      </c>
      <c r="I580" s="19">
        <v>2.0</v>
      </c>
      <c r="J580" s="5" t="s">
        <v>4160</v>
      </c>
      <c r="K580" s="5"/>
      <c r="L580" s="5"/>
      <c r="M580" s="5"/>
    </row>
    <row r="581" ht="15.75" customHeight="1">
      <c r="A581" s="14">
        <v>46303.0</v>
      </c>
      <c r="B581" s="5" t="s">
        <v>4124</v>
      </c>
      <c r="C581" s="15">
        <v>0.90625</v>
      </c>
      <c r="D581" s="5" t="s">
        <v>2368</v>
      </c>
      <c r="E581" s="16" t="str">
        <f t="array" ref="E581">_xlfn.XLOOKUP(F581, Filmes!$D$2:$D$344, Filmes!$A$2:$A$344, "")</f>
        <v>198</v>
      </c>
      <c r="F581" s="7" t="s">
        <v>2471</v>
      </c>
      <c r="G581" s="17" t="s">
        <v>4130</v>
      </c>
      <c r="H581" s="17" t="s">
        <v>4131</v>
      </c>
      <c r="I581" s="19">
        <v>6.0</v>
      </c>
      <c r="J581" s="5"/>
      <c r="K581" s="5"/>
      <c r="L581" s="5" t="s">
        <v>65</v>
      </c>
      <c r="M581" s="5"/>
    </row>
    <row r="582" ht="15.75" customHeight="1">
      <c r="A582" s="14">
        <v>46305.0</v>
      </c>
      <c r="B582" s="5" t="s">
        <v>4127</v>
      </c>
      <c r="C582" s="15">
        <v>0.5729166666666666</v>
      </c>
      <c r="D582" s="5" t="s">
        <v>2368</v>
      </c>
      <c r="E582" s="16" t="str">
        <f t="array" ref="E582">_xlfn.XLOOKUP(F582, Filmes!$D$2:$D$344, Filmes!$A$2:$A$344, "")</f>
        <v>198</v>
      </c>
      <c r="F582" s="7" t="s">
        <v>2471</v>
      </c>
      <c r="G582" s="17" t="s">
        <v>4128</v>
      </c>
      <c r="H582" s="17" t="s">
        <v>4129</v>
      </c>
      <c r="I582" s="19">
        <v>3.0</v>
      </c>
      <c r="J582" s="5"/>
      <c r="K582" s="5"/>
      <c r="L582" s="5"/>
      <c r="M582" s="5"/>
    </row>
    <row r="583" ht="15.75" customHeight="1">
      <c r="A583" s="14">
        <v>46309.0</v>
      </c>
      <c r="B583" s="5" t="s">
        <v>4143</v>
      </c>
      <c r="C583" s="15">
        <v>0.7916666666666666</v>
      </c>
      <c r="D583" s="5" t="s">
        <v>2368</v>
      </c>
      <c r="E583" s="16" t="str">
        <f t="array" ref="E583">_xlfn.XLOOKUP(F583, Filmes!$D$2:$D$344, Filmes!$A$2:$A$344, "")</f>
        <v>198</v>
      </c>
      <c r="F583" s="7" t="s">
        <v>2471</v>
      </c>
      <c r="G583" s="17" t="s">
        <v>4139</v>
      </c>
      <c r="H583" s="17" t="s">
        <v>4140</v>
      </c>
      <c r="I583" s="19">
        <v>5.0</v>
      </c>
      <c r="J583" s="5"/>
      <c r="K583" s="5"/>
      <c r="L583" s="5"/>
      <c r="M583" s="5"/>
    </row>
    <row r="584" ht="15.75" customHeight="1">
      <c r="A584" s="14">
        <v>46297.0</v>
      </c>
      <c r="B584" s="5" t="s">
        <v>4135</v>
      </c>
      <c r="C584" s="15">
        <v>0.8333333333333334</v>
      </c>
      <c r="D584" s="5" t="s">
        <v>2368</v>
      </c>
      <c r="E584" s="16" t="str">
        <f t="array" ref="E584">_xlfn.XLOOKUP(F584, Filmes!$D$2:$D$344, Filmes!$A$2:$A$344, "")</f>
        <v>199</v>
      </c>
      <c r="F584" s="7" t="s">
        <v>2482</v>
      </c>
      <c r="G584" s="17" t="s">
        <v>4133</v>
      </c>
      <c r="H584" s="17" t="s">
        <v>4134</v>
      </c>
      <c r="I584" s="19">
        <v>1.0</v>
      </c>
      <c r="J584" s="5"/>
      <c r="K584" s="5"/>
      <c r="L584" s="5"/>
      <c r="M584" s="5"/>
    </row>
    <row r="585" ht="15.75" customHeight="1">
      <c r="A585" s="14">
        <v>46299.0</v>
      </c>
      <c r="B585" s="5" t="s">
        <v>4136</v>
      </c>
      <c r="C585" s="15">
        <v>0.6875</v>
      </c>
      <c r="D585" s="5" t="s">
        <v>2368</v>
      </c>
      <c r="E585" s="16" t="str">
        <f t="array" ref="E585">_xlfn.XLOOKUP(F585, Filmes!$D$2:$D$344, Filmes!$A$2:$A$344, "")</f>
        <v>199</v>
      </c>
      <c r="F585" s="7" t="s">
        <v>2482</v>
      </c>
      <c r="G585" s="17" t="s">
        <v>4139</v>
      </c>
      <c r="H585" s="17" t="s">
        <v>4140</v>
      </c>
      <c r="I585" s="19">
        <v>3.0</v>
      </c>
      <c r="J585" s="5"/>
      <c r="K585" s="5"/>
      <c r="L585" s="5"/>
      <c r="M585" s="5"/>
    </row>
    <row r="586" ht="15.75" customHeight="1">
      <c r="A586" s="14">
        <v>46302.0</v>
      </c>
      <c r="B586" s="5" t="s">
        <v>4143</v>
      </c>
      <c r="C586" s="15">
        <v>0.7708333333333334</v>
      </c>
      <c r="D586" s="5" t="s">
        <v>2368</v>
      </c>
      <c r="E586" s="16" t="str">
        <f t="array" ref="E586">_xlfn.XLOOKUP(F586, Filmes!$D$2:$D$344, Filmes!$A$2:$A$344, "")</f>
        <v>199</v>
      </c>
      <c r="F586" s="7" t="s">
        <v>2482</v>
      </c>
      <c r="G586" s="17" t="s">
        <v>4130</v>
      </c>
      <c r="H586" s="17" t="s">
        <v>4131</v>
      </c>
      <c r="I586" s="19">
        <v>2.0</v>
      </c>
      <c r="J586" s="5"/>
      <c r="K586" s="5"/>
      <c r="L586" s="5"/>
      <c r="M586" s="5"/>
    </row>
    <row r="587" ht="15.75" customHeight="1">
      <c r="A587" s="14">
        <v>46296.0</v>
      </c>
      <c r="B587" s="5" t="s">
        <v>4124</v>
      </c>
      <c r="C587" s="15">
        <v>0.90625</v>
      </c>
      <c r="D587" s="5" t="s">
        <v>2368</v>
      </c>
      <c r="E587" s="16" t="str">
        <f t="array" ref="E587">_xlfn.XLOOKUP(F587, Filmes!$D$2:$D$344, Filmes!$A$2:$A$344, "")</f>
        <v>200</v>
      </c>
      <c r="F587" s="7" t="s">
        <v>2495</v>
      </c>
      <c r="G587" s="17" t="s">
        <v>4128</v>
      </c>
      <c r="H587" s="17" t="s">
        <v>4129</v>
      </c>
      <c r="I587" s="19">
        <v>4.0</v>
      </c>
      <c r="J587" s="5"/>
      <c r="K587" s="5"/>
      <c r="L587" s="5"/>
      <c r="M587" s="5"/>
    </row>
    <row r="588" ht="15.75" customHeight="1">
      <c r="A588" s="14">
        <v>46298.0</v>
      </c>
      <c r="B588" s="5" t="s">
        <v>4127</v>
      </c>
      <c r="C588" s="15">
        <v>0.6770833333333334</v>
      </c>
      <c r="D588" s="5" t="s">
        <v>2368</v>
      </c>
      <c r="E588" s="16" t="str">
        <f t="array" ref="E588">_xlfn.XLOOKUP(F588, Filmes!$D$2:$D$344, Filmes!$A$2:$A$344, "")</f>
        <v>200</v>
      </c>
      <c r="F588" s="7" t="s">
        <v>2495</v>
      </c>
      <c r="G588" s="17" t="s">
        <v>4139</v>
      </c>
      <c r="H588" s="17" t="s">
        <v>4140</v>
      </c>
      <c r="I588" s="19">
        <v>3.0</v>
      </c>
      <c r="J588" s="5"/>
      <c r="K588" s="5"/>
      <c r="L588" s="5"/>
      <c r="M588" s="5"/>
    </row>
    <row r="589" ht="15.75" customHeight="1">
      <c r="A589" s="14">
        <v>46305.0</v>
      </c>
      <c r="B589" s="5" t="s">
        <v>4127</v>
      </c>
      <c r="C589" s="15">
        <v>0.5833333333333334</v>
      </c>
      <c r="D589" s="5" t="s">
        <v>2368</v>
      </c>
      <c r="E589" s="16" t="str">
        <f t="array" ref="E589">_xlfn.XLOOKUP(F589, Filmes!$D$2:$D$344, Filmes!$A$2:$A$344, "")</f>
        <v>200</v>
      </c>
      <c r="F589" s="7" t="s">
        <v>2495</v>
      </c>
      <c r="G589" s="17" t="s">
        <v>4130</v>
      </c>
      <c r="H589" s="17" t="s">
        <v>4131</v>
      </c>
      <c r="I589" s="19">
        <v>4.0</v>
      </c>
      <c r="J589" s="5"/>
      <c r="K589" s="5"/>
      <c r="L589" s="5"/>
      <c r="M589" s="5"/>
    </row>
    <row r="590" ht="15.75" customHeight="1">
      <c r="A590" s="14">
        <v>46297.0</v>
      </c>
      <c r="B590" s="5" t="s">
        <v>4135</v>
      </c>
      <c r="C590" s="15">
        <v>0.6770833333333334</v>
      </c>
      <c r="D590" s="5" t="s">
        <v>2368</v>
      </c>
      <c r="E590" s="16" t="str">
        <f t="array" ref="E590">_xlfn.XLOOKUP(F590, Filmes!$D$2:$D$344, Filmes!$A$2:$A$344, "")</f>
        <v>201</v>
      </c>
      <c r="F590" s="7" t="s">
        <v>2506</v>
      </c>
      <c r="G590" s="17" t="s">
        <v>4139</v>
      </c>
      <c r="H590" s="17" t="s">
        <v>4140</v>
      </c>
      <c r="I590" s="19">
        <v>3.0</v>
      </c>
      <c r="J590" s="5"/>
      <c r="K590" s="5"/>
      <c r="L590" s="5"/>
      <c r="M590" s="5"/>
    </row>
    <row r="591" ht="15.75" customHeight="1">
      <c r="A591" s="14">
        <v>46299.0</v>
      </c>
      <c r="B591" s="5" t="s">
        <v>4136</v>
      </c>
      <c r="C591" s="15">
        <v>0.8958333333333334</v>
      </c>
      <c r="D591" s="5" t="s">
        <v>2368</v>
      </c>
      <c r="E591" s="16" t="str">
        <f t="array" ref="E591">_xlfn.XLOOKUP(F591, Filmes!$D$2:$D$344, Filmes!$A$2:$A$344, "")</f>
        <v>201</v>
      </c>
      <c r="F591" s="7" t="s">
        <v>2506</v>
      </c>
      <c r="G591" s="17" t="s">
        <v>4128</v>
      </c>
      <c r="H591" s="17" t="s">
        <v>4129</v>
      </c>
      <c r="I591" s="19">
        <v>1.0</v>
      </c>
      <c r="J591" s="5"/>
      <c r="K591" s="5"/>
      <c r="L591" s="5"/>
      <c r="M591" s="5"/>
    </row>
    <row r="592" ht="15.75" customHeight="1">
      <c r="A592" s="14">
        <v>46306.0</v>
      </c>
      <c r="B592" s="5" t="s">
        <v>4136</v>
      </c>
      <c r="C592" s="15">
        <v>0.5833333333333334</v>
      </c>
      <c r="D592" s="5" t="s">
        <v>2368</v>
      </c>
      <c r="E592" s="16" t="str">
        <f t="array" ref="E592">_xlfn.XLOOKUP(F592, Filmes!$D$2:$D$344, Filmes!$A$2:$A$344, "")</f>
        <v>201</v>
      </c>
      <c r="F592" s="7" t="s">
        <v>2506</v>
      </c>
      <c r="G592" s="17" t="s">
        <v>4130</v>
      </c>
      <c r="H592" s="17" t="s">
        <v>4131</v>
      </c>
      <c r="I592" s="19">
        <v>4.0</v>
      </c>
      <c r="J592" s="5"/>
      <c r="K592" s="5"/>
      <c r="L592" s="5"/>
      <c r="M592" s="5"/>
    </row>
    <row r="593" ht="15.75" customHeight="1">
      <c r="A593" s="14">
        <v>46296.0</v>
      </c>
      <c r="B593" s="5" t="s">
        <v>4124</v>
      </c>
      <c r="C593" s="15">
        <v>0.6770833333333334</v>
      </c>
      <c r="D593" s="5" t="s">
        <v>2368</v>
      </c>
      <c r="E593" s="16" t="str">
        <f t="array" ref="E593">_xlfn.XLOOKUP(F593, Filmes!$D$2:$D$344, Filmes!$A$2:$A$344, "")</f>
        <v>202</v>
      </c>
      <c r="F593" s="7" t="s">
        <v>2514</v>
      </c>
      <c r="G593" s="17" t="s">
        <v>4130</v>
      </c>
      <c r="H593" s="17" t="s">
        <v>4131</v>
      </c>
      <c r="I593" s="19">
        <v>3.0</v>
      </c>
      <c r="J593" s="5"/>
      <c r="K593" s="5"/>
      <c r="L593" s="5"/>
      <c r="M593" s="5"/>
    </row>
    <row r="594" ht="15.75" customHeight="1">
      <c r="A594" s="14">
        <v>46299.0</v>
      </c>
      <c r="B594" s="5" t="s">
        <v>4136</v>
      </c>
      <c r="C594" s="15">
        <v>0.8541666666666666</v>
      </c>
      <c r="D594" s="5" t="s">
        <v>2368</v>
      </c>
      <c r="E594" s="16" t="str">
        <f t="array" ref="E594">_xlfn.XLOOKUP(F594, Filmes!$D$2:$D$344, Filmes!$A$2:$A$344, "")</f>
        <v>202</v>
      </c>
      <c r="F594" s="7" t="s">
        <v>2514</v>
      </c>
      <c r="G594" s="17" t="s">
        <v>4141</v>
      </c>
      <c r="H594" s="17" t="s">
        <v>4142</v>
      </c>
      <c r="I594" s="19"/>
      <c r="J594" s="5"/>
      <c r="K594" s="5"/>
      <c r="L594" s="5"/>
      <c r="M594" s="5"/>
    </row>
    <row r="595" ht="15.75" customHeight="1">
      <c r="A595" s="14">
        <v>46305.0</v>
      </c>
      <c r="B595" s="5" t="s">
        <v>4127</v>
      </c>
      <c r="C595" s="15">
        <v>0.5833333333333334</v>
      </c>
      <c r="D595" s="5" t="s">
        <v>2368</v>
      </c>
      <c r="E595" s="16" t="str">
        <f t="array" ref="E595">_xlfn.XLOOKUP(F595, Filmes!$D$2:$D$344, Filmes!$A$2:$A$344, "")</f>
        <v>202</v>
      </c>
      <c r="F595" s="7" t="s">
        <v>2514</v>
      </c>
      <c r="G595" s="17" t="s">
        <v>4133</v>
      </c>
      <c r="H595" s="17" t="s">
        <v>4134</v>
      </c>
      <c r="I595" s="19">
        <v>1.0</v>
      </c>
      <c r="J595" s="5"/>
      <c r="K595" s="5"/>
      <c r="L595" s="5"/>
      <c r="M595" s="5"/>
    </row>
    <row r="596" ht="15.75" customHeight="1">
      <c r="A596" s="14">
        <v>46299.0</v>
      </c>
      <c r="B596" s="5" t="s">
        <v>4136</v>
      </c>
      <c r="C596" s="15">
        <v>0.78125</v>
      </c>
      <c r="D596" s="5" t="s">
        <v>2368</v>
      </c>
      <c r="E596" s="16" t="str">
        <f t="array" ref="E596">_xlfn.XLOOKUP(F596, Filmes!$D$2:$D$344, Filmes!$A$2:$A$344, "")</f>
        <v>203</v>
      </c>
      <c r="F596" s="7" t="s">
        <v>2525</v>
      </c>
      <c r="G596" s="17" t="s">
        <v>4130</v>
      </c>
      <c r="H596" s="17" t="s">
        <v>4131</v>
      </c>
      <c r="I596" s="19">
        <v>3.0</v>
      </c>
      <c r="J596" s="5"/>
      <c r="K596" s="5"/>
      <c r="L596" s="5"/>
      <c r="M596" s="5"/>
    </row>
    <row r="597" ht="15.75" customHeight="1">
      <c r="A597" s="14">
        <v>46301.0</v>
      </c>
      <c r="B597" s="5" t="s">
        <v>4121</v>
      </c>
      <c r="C597" s="15">
        <v>0.7083333333333334</v>
      </c>
      <c r="D597" s="5" t="s">
        <v>2368</v>
      </c>
      <c r="E597" s="16" t="str">
        <f t="array" ref="E597">_xlfn.XLOOKUP(F597, Filmes!$D$2:$D$344, Filmes!$A$2:$A$344, "")</f>
        <v>203</v>
      </c>
      <c r="F597" s="7" t="s">
        <v>2525</v>
      </c>
      <c r="G597" s="17" t="s">
        <v>4128</v>
      </c>
      <c r="H597" s="17" t="s">
        <v>4129</v>
      </c>
      <c r="I597" s="19">
        <v>5.0</v>
      </c>
      <c r="J597" s="5"/>
      <c r="K597" s="5"/>
      <c r="L597" s="5"/>
      <c r="M597" s="5"/>
    </row>
    <row r="598" ht="15.75" customHeight="1">
      <c r="A598" s="14">
        <v>46303.0</v>
      </c>
      <c r="B598" s="5" t="s">
        <v>4124</v>
      </c>
      <c r="C598" s="15">
        <v>0.8229166666666666</v>
      </c>
      <c r="D598" s="5" t="s">
        <v>2368</v>
      </c>
      <c r="E598" s="16" t="str">
        <f t="array" ref="E598">_xlfn.XLOOKUP(F598, Filmes!$D$2:$D$344, Filmes!$A$2:$A$344, "")</f>
        <v>203</v>
      </c>
      <c r="F598" s="7" t="s">
        <v>2525</v>
      </c>
      <c r="G598" s="17" t="s">
        <v>4133</v>
      </c>
      <c r="H598" s="17" t="s">
        <v>4134</v>
      </c>
      <c r="I598" s="19">
        <v>2.0</v>
      </c>
      <c r="J598" s="5"/>
      <c r="K598" s="5"/>
      <c r="L598" s="5"/>
      <c r="M598" s="5"/>
    </row>
    <row r="599" ht="15.75" customHeight="1">
      <c r="A599" s="14">
        <v>46301.0</v>
      </c>
      <c r="B599" s="5" t="s">
        <v>4121</v>
      </c>
      <c r="C599" s="15">
        <v>0.875</v>
      </c>
      <c r="D599" s="5" t="s">
        <v>2368</v>
      </c>
      <c r="E599" s="16" t="str">
        <f t="array" ref="E599">_xlfn.XLOOKUP(F599, Filmes!$D$2:$D$344, Filmes!$A$2:$A$344, "")</f>
        <v>204</v>
      </c>
      <c r="F599" s="7" t="s">
        <v>2536</v>
      </c>
      <c r="G599" s="17" t="s">
        <v>4130</v>
      </c>
      <c r="H599" s="17" t="s">
        <v>4131</v>
      </c>
      <c r="I599" s="19">
        <v>4.0</v>
      </c>
      <c r="J599" s="10"/>
      <c r="K599" s="5"/>
      <c r="L599" s="5" t="s">
        <v>65</v>
      </c>
      <c r="M599" s="5" t="s">
        <v>65</v>
      </c>
    </row>
    <row r="600" ht="15.75" customHeight="1">
      <c r="A600" s="14">
        <v>46303.0</v>
      </c>
      <c r="B600" s="5" t="s">
        <v>4124</v>
      </c>
      <c r="C600" s="15">
        <v>0.6770833333333334</v>
      </c>
      <c r="D600" s="5" t="s">
        <v>2368</v>
      </c>
      <c r="E600" s="16" t="str">
        <f t="array" ref="E600">_xlfn.XLOOKUP(F600, Filmes!$D$2:$D$344, Filmes!$A$2:$A$344, "")</f>
        <v>204</v>
      </c>
      <c r="F600" s="7" t="s">
        <v>2536</v>
      </c>
      <c r="G600" s="17" t="s">
        <v>4128</v>
      </c>
      <c r="H600" s="17" t="s">
        <v>4129</v>
      </c>
      <c r="I600" s="19">
        <v>3.0</v>
      </c>
      <c r="J600" s="5"/>
      <c r="K600" s="5"/>
      <c r="L600" s="5"/>
      <c r="M600" s="5"/>
    </row>
    <row r="601" ht="15.75" customHeight="1">
      <c r="A601" s="14">
        <v>46305.0</v>
      </c>
      <c r="B601" s="5" t="s">
        <v>4127</v>
      </c>
      <c r="C601" s="15">
        <v>0.78125</v>
      </c>
      <c r="D601" s="5" t="s">
        <v>2368</v>
      </c>
      <c r="E601" s="16" t="str">
        <f t="array" ref="E601">_xlfn.XLOOKUP(F601, Filmes!$D$2:$D$344, Filmes!$A$2:$A$344, "")</f>
        <v>204</v>
      </c>
      <c r="F601" s="7" t="s">
        <v>2536</v>
      </c>
      <c r="G601" s="17" t="s">
        <v>4139</v>
      </c>
      <c r="H601" s="17" t="s">
        <v>4140</v>
      </c>
      <c r="I601" s="19">
        <v>3.0</v>
      </c>
      <c r="J601" s="5"/>
      <c r="K601" s="5"/>
      <c r="L601" s="5"/>
      <c r="M601" s="5"/>
    </row>
    <row r="602" ht="15.75" customHeight="1">
      <c r="A602" s="14">
        <v>46297.0</v>
      </c>
      <c r="B602" s="5" t="s">
        <v>4135</v>
      </c>
      <c r="C602" s="15">
        <v>0.78125</v>
      </c>
      <c r="D602" s="5" t="s">
        <v>2368</v>
      </c>
      <c r="E602" s="16" t="str">
        <f t="array" ref="E602">_xlfn.XLOOKUP(F602, Filmes!$D$2:$D$344, Filmes!$A$2:$A$344, "")</f>
        <v>205</v>
      </c>
      <c r="F602" s="7" t="s">
        <v>2546</v>
      </c>
      <c r="G602" s="17" t="s">
        <v>4130</v>
      </c>
      <c r="H602" s="17" t="s">
        <v>4131</v>
      </c>
      <c r="I602" s="19">
        <v>3.0</v>
      </c>
      <c r="J602" s="5"/>
      <c r="K602" s="5"/>
      <c r="L602" s="5"/>
      <c r="M602" s="5"/>
    </row>
    <row r="603" ht="15.75" customHeight="1">
      <c r="A603" s="14">
        <v>46299.0</v>
      </c>
      <c r="B603" s="5" t="s">
        <v>4136</v>
      </c>
      <c r="C603" s="15">
        <v>0.875</v>
      </c>
      <c r="D603" s="5" t="s">
        <v>2368</v>
      </c>
      <c r="E603" s="16" t="str">
        <f t="array" ref="E603">_xlfn.XLOOKUP(F603, Filmes!$D$2:$D$344, Filmes!$A$2:$A$344, "")</f>
        <v>205</v>
      </c>
      <c r="F603" s="7" t="s">
        <v>2546</v>
      </c>
      <c r="G603" s="17" t="s">
        <v>4139</v>
      </c>
      <c r="H603" s="17" t="s">
        <v>4140</v>
      </c>
      <c r="I603" s="19">
        <v>4.0</v>
      </c>
      <c r="J603" s="5"/>
      <c r="K603" s="5"/>
      <c r="L603" s="5"/>
      <c r="M603" s="5"/>
    </row>
    <row r="604" ht="15.75" customHeight="1">
      <c r="A604" s="14">
        <v>46301.0</v>
      </c>
      <c r="B604" s="5" t="s">
        <v>4121</v>
      </c>
      <c r="C604" s="15">
        <v>0.6354166666666666</v>
      </c>
      <c r="D604" s="5" t="s">
        <v>2368</v>
      </c>
      <c r="E604" s="16" t="str">
        <f t="array" ref="E604">_xlfn.XLOOKUP(F604, Filmes!$D$2:$D$344, Filmes!$A$2:$A$344, "")</f>
        <v>205</v>
      </c>
      <c r="F604" s="7" t="s">
        <v>2546</v>
      </c>
      <c r="G604" s="17" t="s">
        <v>4141</v>
      </c>
      <c r="H604" s="17" t="s">
        <v>4142</v>
      </c>
      <c r="I604" s="19"/>
      <c r="J604" s="5"/>
      <c r="K604" s="5"/>
      <c r="L604" s="5"/>
      <c r="M604" s="5"/>
    </row>
    <row r="605" ht="15.75" customHeight="1">
      <c r="A605" s="14">
        <v>46296.0</v>
      </c>
      <c r="B605" s="5" t="s">
        <v>4124</v>
      </c>
      <c r="C605" s="15">
        <v>0.6770833333333334</v>
      </c>
      <c r="D605" s="5" t="s">
        <v>2368</v>
      </c>
      <c r="E605" s="16" t="str">
        <f t="array" ref="E605">_xlfn.XLOOKUP(F605, Filmes!$D$2:$D$344, Filmes!$A$2:$A$344, "")</f>
        <v>206</v>
      </c>
      <c r="F605" s="7" t="s">
        <v>2555</v>
      </c>
      <c r="G605" s="17" t="s">
        <v>4133</v>
      </c>
      <c r="H605" s="17" t="s">
        <v>4134</v>
      </c>
      <c r="I605" s="19">
        <v>2.0</v>
      </c>
      <c r="J605" s="5" t="s">
        <v>4158</v>
      </c>
      <c r="K605" s="5"/>
      <c r="L605" s="5"/>
      <c r="M605" s="5"/>
    </row>
    <row r="606" ht="15.75" customHeight="1">
      <c r="A606" s="14">
        <v>46298.0</v>
      </c>
      <c r="B606" s="5" t="s">
        <v>4127</v>
      </c>
      <c r="C606" s="15">
        <v>0.59375</v>
      </c>
      <c r="D606" s="5" t="s">
        <v>2368</v>
      </c>
      <c r="E606" s="16" t="str">
        <f t="array" ref="E606">_xlfn.XLOOKUP(F606, Filmes!$D$2:$D$344, Filmes!$A$2:$A$344, "")</f>
        <v>206</v>
      </c>
      <c r="F606" s="7" t="s">
        <v>2555</v>
      </c>
      <c r="G606" s="17" t="s">
        <v>4130</v>
      </c>
      <c r="H606" s="17" t="s">
        <v>4131</v>
      </c>
      <c r="I606" s="19">
        <v>6.0</v>
      </c>
      <c r="J606" s="5" t="s">
        <v>4158</v>
      </c>
      <c r="K606" s="5"/>
      <c r="L606" s="5"/>
      <c r="M606" s="5"/>
    </row>
    <row r="607" ht="15.75" customHeight="1">
      <c r="A607" s="14">
        <v>46296.0</v>
      </c>
      <c r="B607" s="5" t="s">
        <v>4124</v>
      </c>
      <c r="C607" s="15">
        <v>0.6770833333333334</v>
      </c>
      <c r="D607" s="5" t="s">
        <v>2368</v>
      </c>
      <c r="E607" s="16" t="str">
        <f t="array" ref="E607">_xlfn.XLOOKUP(F607, Filmes!$D$2:$D$344, Filmes!$A$2:$A$344, "")</f>
        <v>207</v>
      </c>
      <c r="F607" s="7" t="s">
        <v>2563</v>
      </c>
      <c r="G607" s="17" t="s">
        <v>4133</v>
      </c>
      <c r="H607" s="17" t="s">
        <v>4134</v>
      </c>
      <c r="I607" s="19">
        <v>2.0</v>
      </c>
      <c r="J607" s="5"/>
      <c r="K607" s="5"/>
      <c r="L607" s="5"/>
      <c r="M607" s="5"/>
    </row>
    <row r="608" ht="15.75" customHeight="1">
      <c r="A608" s="14">
        <v>46298.0</v>
      </c>
      <c r="B608" s="5" t="s">
        <v>4127</v>
      </c>
      <c r="C608" s="15">
        <v>0.59375</v>
      </c>
      <c r="D608" s="5" t="s">
        <v>2368</v>
      </c>
      <c r="E608" s="16" t="str">
        <f t="array" ref="E608">_xlfn.XLOOKUP(F608, Filmes!$D$2:$D$344, Filmes!$A$2:$A$344, "")</f>
        <v>207</v>
      </c>
      <c r="F608" s="7" t="s">
        <v>2563</v>
      </c>
      <c r="G608" s="17" t="s">
        <v>4130</v>
      </c>
      <c r="H608" s="17" t="s">
        <v>4131</v>
      </c>
      <c r="I608" s="19">
        <v>6.0</v>
      </c>
      <c r="J608" s="5"/>
      <c r="K608" s="5"/>
      <c r="L608" s="5"/>
      <c r="M608" s="5"/>
    </row>
    <row r="609" ht="15.75" customHeight="1">
      <c r="A609" s="14">
        <v>46309.0</v>
      </c>
      <c r="B609" s="5" t="s">
        <v>4143</v>
      </c>
      <c r="C609" s="15">
        <v>0.8854166666666666</v>
      </c>
      <c r="D609" s="5" t="s">
        <v>2368</v>
      </c>
      <c r="E609" s="16" t="str">
        <f t="array" ref="E609">_xlfn.XLOOKUP(F609, Filmes!$D$2:$D$344, Filmes!$A$2:$A$344, "")</f>
        <v>207</v>
      </c>
      <c r="F609" s="7" t="s">
        <v>2563</v>
      </c>
      <c r="G609" s="17" t="s">
        <v>4139</v>
      </c>
      <c r="H609" s="17" t="s">
        <v>4140</v>
      </c>
      <c r="I609" s="19">
        <v>5.0</v>
      </c>
      <c r="J609" s="5"/>
      <c r="K609" s="5"/>
      <c r="L609" s="5"/>
      <c r="M609" s="5"/>
    </row>
    <row r="610" ht="15.75" customHeight="1">
      <c r="A610" s="14">
        <v>46296.0</v>
      </c>
      <c r="B610" s="5" t="s">
        <v>4124</v>
      </c>
      <c r="C610" s="15">
        <v>0.6770833333333334</v>
      </c>
      <c r="D610" s="5" t="s">
        <v>2368</v>
      </c>
      <c r="E610" s="16" t="str">
        <f t="array" ref="E610">_xlfn.XLOOKUP(F610, Filmes!$D$2:$D$344, Filmes!$A$2:$A$344, "")</f>
        <v>208</v>
      </c>
      <c r="F610" s="7" t="s">
        <v>2569</v>
      </c>
      <c r="G610" s="17" t="s">
        <v>4133</v>
      </c>
      <c r="H610" s="17" t="s">
        <v>4134</v>
      </c>
      <c r="I610" s="19">
        <v>2.0</v>
      </c>
      <c r="J610" s="5" t="s">
        <v>4158</v>
      </c>
      <c r="K610" s="5"/>
      <c r="L610" s="5"/>
      <c r="M610" s="5"/>
    </row>
    <row r="611" ht="15.75" customHeight="1">
      <c r="A611" s="14">
        <v>46298.0</v>
      </c>
      <c r="B611" s="5" t="s">
        <v>4127</v>
      </c>
      <c r="C611" s="15">
        <v>0.59375</v>
      </c>
      <c r="D611" s="5" t="s">
        <v>2368</v>
      </c>
      <c r="E611" s="16" t="str">
        <f t="array" ref="E611">_xlfn.XLOOKUP(F611, Filmes!$D$2:$D$344, Filmes!$A$2:$A$344, "")</f>
        <v>208</v>
      </c>
      <c r="F611" s="7" t="s">
        <v>2569</v>
      </c>
      <c r="G611" s="17" t="s">
        <v>4130</v>
      </c>
      <c r="H611" s="17" t="s">
        <v>4131</v>
      </c>
      <c r="I611" s="19">
        <v>6.0</v>
      </c>
      <c r="J611" s="5" t="s">
        <v>4158</v>
      </c>
      <c r="K611" s="5"/>
      <c r="L611" s="5"/>
      <c r="M611" s="5"/>
    </row>
    <row r="612" ht="15.75" customHeight="1">
      <c r="A612" s="14">
        <v>46296.0</v>
      </c>
      <c r="B612" s="5" t="s">
        <v>4124</v>
      </c>
      <c r="C612" s="15">
        <v>0.6770833333333334</v>
      </c>
      <c r="D612" s="5" t="s">
        <v>2368</v>
      </c>
      <c r="E612" s="16" t="str">
        <f t="array" ref="E612">_xlfn.XLOOKUP(F612, Filmes!$D$2:$D$344, Filmes!$A$2:$A$344, "")</f>
        <v>209</v>
      </c>
      <c r="F612" s="7" t="s">
        <v>2580</v>
      </c>
      <c r="G612" s="17" t="s">
        <v>4133</v>
      </c>
      <c r="H612" s="17" t="s">
        <v>4134</v>
      </c>
      <c r="I612" s="19">
        <v>2.0</v>
      </c>
      <c r="J612" s="5" t="s">
        <v>4158</v>
      </c>
      <c r="K612" s="5"/>
      <c r="L612" s="5"/>
      <c r="M612" s="5"/>
    </row>
    <row r="613" ht="15.75" customHeight="1">
      <c r="A613" s="14">
        <v>46298.0</v>
      </c>
      <c r="B613" s="5" t="s">
        <v>4127</v>
      </c>
      <c r="C613" s="15">
        <v>0.59375</v>
      </c>
      <c r="D613" s="5" t="s">
        <v>2368</v>
      </c>
      <c r="E613" s="16" t="str">
        <f t="array" ref="E613">_xlfn.XLOOKUP(F613, Filmes!$D$2:$D$344, Filmes!$A$2:$A$344, "")</f>
        <v>209</v>
      </c>
      <c r="F613" s="7" t="s">
        <v>2580</v>
      </c>
      <c r="G613" s="17" t="s">
        <v>4130</v>
      </c>
      <c r="H613" s="17" t="s">
        <v>4131</v>
      </c>
      <c r="I613" s="19">
        <v>6.0</v>
      </c>
      <c r="J613" s="5" t="s">
        <v>4158</v>
      </c>
      <c r="K613" s="5"/>
      <c r="L613" s="5"/>
      <c r="M613" s="5"/>
    </row>
    <row r="614" ht="15.75" customHeight="1">
      <c r="A614" s="14">
        <v>46298.0</v>
      </c>
      <c r="B614" s="5" t="s">
        <v>4127</v>
      </c>
      <c r="C614" s="15">
        <v>0.8333333333333334</v>
      </c>
      <c r="D614" s="5" t="s">
        <v>2368</v>
      </c>
      <c r="E614" s="16" t="str">
        <f t="array" ref="E614">_xlfn.XLOOKUP(F614, Filmes!$D$2:$D$344, Filmes!$A$2:$A$344, "")</f>
        <v>210</v>
      </c>
      <c r="F614" s="7" t="s">
        <v>2587</v>
      </c>
      <c r="G614" s="17" t="s">
        <v>4133</v>
      </c>
      <c r="H614" s="17" t="s">
        <v>4134</v>
      </c>
      <c r="I614" s="19">
        <v>1.0</v>
      </c>
      <c r="J614" s="5"/>
      <c r="K614" s="5"/>
      <c r="L614" s="5"/>
      <c r="M614" s="5"/>
    </row>
    <row r="615" ht="15.75" customHeight="1">
      <c r="A615" s="14">
        <v>46300.0</v>
      </c>
      <c r="B615" s="5" t="s">
        <v>4132</v>
      </c>
      <c r="C615" s="15">
        <v>0.7222222222222222</v>
      </c>
      <c r="D615" s="5" t="s">
        <v>2368</v>
      </c>
      <c r="E615" s="16" t="str">
        <f t="array" ref="E615">_xlfn.XLOOKUP(F615, Filmes!$D$2:$D$344, Filmes!$A$2:$A$344, "")</f>
        <v>210</v>
      </c>
      <c r="F615" s="7" t="s">
        <v>2587</v>
      </c>
      <c r="G615" s="17" t="s">
        <v>4128</v>
      </c>
      <c r="H615" s="17" t="s">
        <v>4129</v>
      </c>
      <c r="I615" s="19">
        <v>4.0</v>
      </c>
      <c r="J615" s="5"/>
      <c r="K615" s="5"/>
      <c r="L615" s="5"/>
      <c r="M615" s="5"/>
    </row>
    <row r="616" ht="15.75" customHeight="1">
      <c r="A616" s="14">
        <v>46302.0</v>
      </c>
      <c r="B616" s="5" t="s">
        <v>4143</v>
      </c>
      <c r="C616" s="15">
        <v>0.7916666666666666</v>
      </c>
      <c r="D616" s="5" t="s">
        <v>2368</v>
      </c>
      <c r="E616" s="16" t="str">
        <f t="array" ref="E616">_xlfn.XLOOKUP(F616, Filmes!$D$2:$D$344, Filmes!$A$2:$A$344, "")</f>
        <v>210</v>
      </c>
      <c r="F616" s="7" t="s">
        <v>2587</v>
      </c>
      <c r="G616" s="17" t="s">
        <v>4130</v>
      </c>
      <c r="H616" s="17" t="s">
        <v>4131</v>
      </c>
      <c r="I616" s="19">
        <v>4.0</v>
      </c>
      <c r="J616" s="5"/>
      <c r="K616" s="5"/>
      <c r="L616" s="5"/>
      <c r="M616" s="5"/>
    </row>
    <row r="617" ht="15.75" customHeight="1">
      <c r="A617" s="14">
        <v>46297.0</v>
      </c>
      <c r="B617" s="5" t="s">
        <v>4135</v>
      </c>
      <c r="C617" s="15">
        <v>0.8958333333333334</v>
      </c>
      <c r="D617" s="5" t="s">
        <v>2368</v>
      </c>
      <c r="E617" s="16" t="str">
        <f t="array" ref="E617">_xlfn.XLOOKUP(F617, Filmes!$D$2:$D$344, Filmes!$A$2:$A$344, "")</f>
        <v>211</v>
      </c>
      <c r="F617" s="7" t="s">
        <v>2598</v>
      </c>
      <c r="G617" s="17" t="s">
        <v>4128</v>
      </c>
      <c r="H617" s="17" t="s">
        <v>4129</v>
      </c>
      <c r="I617" s="19">
        <v>1.0</v>
      </c>
      <c r="J617" s="5"/>
      <c r="K617" s="5"/>
      <c r="L617" s="5"/>
      <c r="M617" s="5"/>
    </row>
    <row r="618" ht="15.75" customHeight="1">
      <c r="A618" s="14">
        <v>46299.0</v>
      </c>
      <c r="B618" s="5" t="s">
        <v>4136</v>
      </c>
      <c r="C618" s="15">
        <v>0.5833333333333334</v>
      </c>
      <c r="D618" s="5" t="s">
        <v>2368</v>
      </c>
      <c r="E618" s="16" t="str">
        <f t="array" ref="E618">_xlfn.XLOOKUP(F618, Filmes!$D$2:$D$344, Filmes!$A$2:$A$344, "")</f>
        <v>211</v>
      </c>
      <c r="F618" s="7" t="s">
        <v>2598</v>
      </c>
      <c r="G618" s="17" t="s">
        <v>4139</v>
      </c>
      <c r="H618" s="17" t="s">
        <v>4140</v>
      </c>
      <c r="I618" s="19">
        <v>5.0</v>
      </c>
      <c r="J618" s="5"/>
      <c r="K618" s="5"/>
      <c r="L618" s="5"/>
      <c r="M618" s="5"/>
    </row>
    <row r="619" ht="15.75" customHeight="1">
      <c r="A619" s="14">
        <v>46301.0</v>
      </c>
      <c r="B619" s="5" t="s">
        <v>4121</v>
      </c>
      <c r="C619" s="15">
        <v>0.6875</v>
      </c>
      <c r="D619" s="5" t="s">
        <v>2368</v>
      </c>
      <c r="E619" s="16" t="str">
        <f t="array" ref="E619">_xlfn.XLOOKUP(F619, Filmes!$D$2:$D$344, Filmes!$A$2:$A$344, "")</f>
        <v>211</v>
      </c>
      <c r="F619" s="7" t="s">
        <v>2598</v>
      </c>
      <c r="G619" s="17" t="s">
        <v>4130</v>
      </c>
      <c r="H619" s="17" t="s">
        <v>4131</v>
      </c>
      <c r="I619" s="19">
        <v>4.0</v>
      </c>
      <c r="J619" s="5"/>
      <c r="K619" s="5"/>
      <c r="L619" s="5"/>
      <c r="M619" s="5"/>
    </row>
    <row r="620" ht="15.75" customHeight="1">
      <c r="A620" s="14">
        <v>46299.0</v>
      </c>
      <c r="B620" s="5" t="s">
        <v>4136</v>
      </c>
      <c r="C620" s="15">
        <v>0.875</v>
      </c>
      <c r="D620" s="5" t="s">
        <v>2368</v>
      </c>
      <c r="E620" s="16" t="str">
        <f t="array" ref="E620">_xlfn.XLOOKUP(F620, Filmes!$D$2:$D$344, Filmes!$A$2:$A$344, "")</f>
        <v>212</v>
      </c>
      <c r="F620" s="7" t="s">
        <v>2603</v>
      </c>
      <c r="G620" s="17" t="s">
        <v>4139</v>
      </c>
      <c r="H620" s="17" t="s">
        <v>4140</v>
      </c>
      <c r="I620" s="19">
        <v>5.0</v>
      </c>
      <c r="J620" s="5"/>
      <c r="K620" s="5"/>
      <c r="L620" s="5"/>
      <c r="M620" s="5"/>
    </row>
    <row r="621" ht="15.75" customHeight="1">
      <c r="A621" s="14">
        <v>46301.0</v>
      </c>
      <c r="B621" s="5" t="s">
        <v>4121</v>
      </c>
      <c r="C621" s="15">
        <v>0.7083333333333334</v>
      </c>
      <c r="D621" s="5" t="s">
        <v>2368</v>
      </c>
      <c r="E621" s="16" t="str">
        <f t="array" ref="E621">_xlfn.XLOOKUP(F621, Filmes!$D$2:$D$344, Filmes!$A$2:$A$344, "")</f>
        <v>212</v>
      </c>
      <c r="F621" s="7" t="s">
        <v>2603</v>
      </c>
      <c r="G621" s="17" t="s">
        <v>4128</v>
      </c>
      <c r="H621" s="17" t="s">
        <v>4129</v>
      </c>
      <c r="I621" s="19">
        <v>4.0</v>
      </c>
      <c r="J621" s="5"/>
      <c r="K621" s="5"/>
      <c r="L621" s="5"/>
      <c r="M621" s="5"/>
    </row>
    <row r="622" ht="15.75" customHeight="1">
      <c r="A622" s="14">
        <v>46306.0</v>
      </c>
      <c r="B622" s="5" t="s">
        <v>4136</v>
      </c>
      <c r="C622" s="15">
        <v>0.5625</v>
      </c>
      <c r="D622" s="5" t="s">
        <v>2368</v>
      </c>
      <c r="E622" s="16" t="str">
        <f t="array" ref="E622">_xlfn.XLOOKUP(F622, Filmes!$D$2:$D$344, Filmes!$A$2:$A$344, "")</f>
        <v>212</v>
      </c>
      <c r="F622" s="7" t="s">
        <v>2603</v>
      </c>
      <c r="G622" s="17" t="s">
        <v>4130</v>
      </c>
      <c r="H622" s="17" t="s">
        <v>4131</v>
      </c>
      <c r="I622" s="19">
        <v>2.0</v>
      </c>
      <c r="J622" s="5"/>
      <c r="K622" s="5"/>
      <c r="L622" s="5"/>
      <c r="M622" s="5"/>
    </row>
    <row r="623" ht="15.75" customHeight="1">
      <c r="A623" s="14">
        <v>46299.0</v>
      </c>
      <c r="B623" s="5" t="s">
        <v>4136</v>
      </c>
      <c r="C623" s="15">
        <v>0.6875</v>
      </c>
      <c r="D623" s="5" t="s">
        <v>2368</v>
      </c>
      <c r="E623" s="16" t="str">
        <f t="array" ref="E623">_xlfn.XLOOKUP(F623, Filmes!$D$2:$D$344, Filmes!$A$2:$A$344, "")</f>
        <v>213</v>
      </c>
      <c r="F623" s="7" t="s">
        <v>2607</v>
      </c>
      <c r="G623" s="17" t="s">
        <v>4128</v>
      </c>
      <c r="H623" s="17" t="s">
        <v>4129</v>
      </c>
      <c r="I623" s="19">
        <v>1.0</v>
      </c>
      <c r="J623" s="5"/>
      <c r="K623" s="5"/>
      <c r="L623" s="5"/>
      <c r="M623" s="5"/>
    </row>
    <row r="624" ht="15.75" customHeight="1">
      <c r="A624" s="14">
        <v>46302.0</v>
      </c>
      <c r="B624" s="5" t="s">
        <v>4143</v>
      </c>
      <c r="C624" s="15">
        <v>0.8958333333333334</v>
      </c>
      <c r="D624" s="5" t="s">
        <v>2368</v>
      </c>
      <c r="E624" s="16" t="str">
        <f t="array" ref="E624">_xlfn.XLOOKUP(F624, Filmes!$D$2:$D$344, Filmes!$A$2:$A$344, "")</f>
        <v>213</v>
      </c>
      <c r="F624" s="7" t="s">
        <v>2607</v>
      </c>
      <c r="G624" s="17" t="s">
        <v>4139</v>
      </c>
      <c r="H624" s="17" t="s">
        <v>4140</v>
      </c>
      <c r="I624" s="19">
        <v>4.0</v>
      </c>
      <c r="J624" s="5"/>
      <c r="K624" s="5"/>
      <c r="L624" s="5"/>
      <c r="M624" s="5"/>
    </row>
    <row r="625" ht="15.75" customHeight="1">
      <c r="A625" s="14">
        <v>46306.0</v>
      </c>
      <c r="B625" s="5" t="s">
        <v>4136</v>
      </c>
      <c r="C625" s="15">
        <v>0.7916666666666666</v>
      </c>
      <c r="D625" s="5" t="s">
        <v>2368</v>
      </c>
      <c r="E625" s="16" t="str">
        <f t="array" ref="E625">_xlfn.XLOOKUP(F625, Filmes!$D$2:$D$344, Filmes!$A$2:$A$344, "")</f>
        <v>213</v>
      </c>
      <c r="F625" s="7" t="s">
        <v>2607</v>
      </c>
      <c r="G625" s="17" t="s">
        <v>4130</v>
      </c>
      <c r="H625" s="17" t="s">
        <v>4131</v>
      </c>
      <c r="I625" s="19">
        <v>4.0</v>
      </c>
      <c r="J625" s="5"/>
      <c r="K625" s="5"/>
      <c r="L625" s="5"/>
      <c r="M625" s="5"/>
    </row>
    <row r="626" ht="15.75" customHeight="1">
      <c r="A626" s="14">
        <v>46297.0</v>
      </c>
      <c r="B626" s="5" t="s">
        <v>4135</v>
      </c>
      <c r="C626" s="15">
        <v>0.6875</v>
      </c>
      <c r="D626" s="5" t="s">
        <v>2368</v>
      </c>
      <c r="E626" s="16" t="str">
        <f t="array" ref="E626">_xlfn.XLOOKUP(F626, Filmes!$D$2:$D$344, Filmes!$A$2:$A$344, "")</f>
        <v>214</v>
      </c>
      <c r="F626" s="7" t="s">
        <v>2612</v>
      </c>
      <c r="G626" s="17" t="s">
        <v>4130</v>
      </c>
      <c r="H626" s="17" t="s">
        <v>4131</v>
      </c>
      <c r="I626" s="19">
        <v>1.0</v>
      </c>
      <c r="J626" s="5"/>
      <c r="K626" s="5"/>
      <c r="L626" s="5"/>
      <c r="M626" s="5"/>
    </row>
    <row r="627" ht="15.75" customHeight="1">
      <c r="A627" s="14">
        <v>46299.0</v>
      </c>
      <c r="B627" s="5" t="s">
        <v>4136</v>
      </c>
      <c r="C627" s="15">
        <v>0.7916666666666666</v>
      </c>
      <c r="D627" s="5" t="s">
        <v>2368</v>
      </c>
      <c r="E627" s="16" t="str">
        <f t="array" ref="E627">_xlfn.XLOOKUP(F627, Filmes!$D$2:$D$344, Filmes!$A$2:$A$344, "")</f>
        <v>214</v>
      </c>
      <c r="F627" s="7" t="s">
        <v>2612</v>
      </c>
      <c r="G627" s="17" t="s">
        <v>4125</v>
      </c>
      <c r="H627" s="17" t="s">
        <v>4126</v>
      </c>
      <c r="I627" s="19">
        <v>2.0</v>
      </c>
      <c r="J627" s="5"/>
      <c r="K627" s="5"/>
      <c r="L627" s="5"/>
      <c r="M627" s="5"/>
    </row>
    <row r="628" ht="15.75" customHeight="1">
      <c r="A628" s="14">
        <v>46306.0</v>
      </c>
      <c r="B628" s="5" t="s">
        <v>4136</v>
      </c>
      <c r="C628" s="15">
        <v>0.8333333333333334</v>
      </c>
      <c r="D628" s="5" t="s">
        <v>2368</v>
      </c>
      <c r="E628" s="16" t="str">
        <f t="array" ref="E628">_xlfn.XLOOKUP(F628, Filmes!$D$2:$D$344, Filmes!$A$2:$A$344, "")</f>
        <v>214</v>
      </c>
      <c r="F628" s="7" t="s">
        <v>2612</v>
      </c>
      <c r="G628" s="17" t="s">
        <v>4141</v>
      </c>
      <c r="H628" s="17" t="s">
        <v>4142</v>
      </c>
      <c r="I628" s="19"/>
      <c r="J628" s="5"/>
      <c r="K628" s="5"/>
      <c r="L628" s="5"/>
      <c r="M628" s="5"/>
    </row>
    <row r="629" ht="15.75" customHeight="1">
      <c r="A629" s="14">
        <v>46296.0</v>
      </c>
      <c r="B629" s="5" t="s">
        <v>4124</v>
      </c>
      <c r="C629" s="15">
        <v>0.8958333333333334</v>
      </c>
      <c r="D629" s="5" t="s">
        <v>2622</v>
      </c>
      <c r="E629" s="16" t="str">
        <f t="array" ref="E629">_xlfn.XLOOKUP(F629, Filmes!$D$2:$D$344, Filmes!$A$2:$A$344, "")</f>
        <v>215</v>
      </c>
      <c r="F629" s="7" t="s">
        <v>2623</v>
      </c>
      <c r="G629" s="17" t="s">
        <v>4125</v>
      </c>
      <c r="H629" s="17" t="s">
        <v>4126</v>
      </c>
      <c r="I629" s="19">
        <v>2.0</v>
      </c>
      <c r="J629" s="5"/>
      <c r="K629" s="5"/>
      <c r="L629" s="5"/>
      <c r="M629" s="5"/>
    </row>
    <row r="630" ht="15.75" customHeight="1">
      <c r="A630" s="14">
        <v>46298.0</v>
      </c>
      <c r="B630" s="5" t="s">
        <v>4127</v>
      </c>
      <c r="C630" s="15">
        <v>0.7916666666666666</v>
      </c>
      <c r="D630" s="5" t="s">
        <v>2622</v>
      </c>
      <c r="E630" s="16" t="str">
        <f t="array" ref="E630">_xlfn.XLOOKUP(F630, Filmes!$D$2:$D$344, Filmes!$A$2:$A$344, "")</f>
        <v>215</v>
      </c>
      <c r="F630" s="7" t="s">
        <v>2623</v>
      </c>
      <c r="G630" s="17" t="s">
        <v>4130</v>
      </c>
      <c r="H630" s="17" t="s">
        <v>4131</v>
      </c>
      <c r="I630" s="19">
        <v>1.0</v>
      </c>
      <c r="J630" s="5"/>
      <c r="K630" s="5"/>
      <c r="L630" s="5"/>
      <c r="M630" s="5"/>
    </row>
    <row r="631" ht="15.75" customHeight="1">
      <c r="A631" s="14">
        <v>46301.0</v>
      </c>
      <c r="B631" s="5" t="s">
        <v>4121</v>
      </c>
      <c r="C631" s="15">
        <v>0.5833333333333334</v>
      </c>
      <c r="D631" s="5" t="s">
        <v>2622</v>
      </c>
      <c r="E631" s="16" t="str">
        <f t="array" ref="E631">_xlfn.XLOOKUP(F631, Filmes!$D$2:$D$344, Filmes!$A$2:$A$344, "")</f>
        <v>215</v>
      </c>
      <c r="F631" s="7" t="s">
        <v>2623</v>
      </c>
      <c r="G631" s="17" t="s">
        <v>4137</v>
      </c>
      <c r="H631" s="17" t="s">
        <v>4138</v>
      </c>
      <c r="I631" s="19">
        <v>1.0</v>
      </c>
      <c r="J631" s="5"/>
      <c r="K631" s="5"/>
      <c r="L631" s="5"/>
      <c r="M631" s="5"/>
    </row>
    <row r="632" ht="15.75" customHeight="1">
      <c r="A632" s="14">
        <v>46306.0</v>
      </c>
      <c r="B632" s="5" t="s">
        <v>4136</v>
      </c>
      <c r="C632" s="15">
        <v>0.6666666666666666</v>
      </c>
      <c r="D632" s="5" t="s">
        <v>2622</v>
      </c>
      <c r="E632" s="16" t="str">
        <f t="array" ref="E632">_xlfn.XLOOKUP(F632, Filmes!$D$2:$D$344, Filmes!$A$2:$A$344, "")</f>
        <v>215</v>
      </c>
      <c r="F632" s="7" t="s">
        <v>2623</v>
      </c>
      <c r="G632" s="17" t="s">
        <v>4141</v>
      </c>
      <c r="H632" s="17" t="s">
        <v>4142</v>
      </c>
      <c r="I632" s="19"/>
      <c r="J632" s="5"/>
      <c r="K632" s="5"/>
      <c r="L632" s="5"/>
      <c r="M632" s="5"/>
    </row>
    <row r="633" ht="15.75" customHeight="1">
      <c r="A633" s="14">
        <v>46308.0</v>
      </c>
      <c r="B633" s="5" t="s">
        <v>4121</v>
      </c>
      <c r="C633" s="15">
        <v>0.8645833333333334</v>
      </c>
      <c r="D633" s="5" t="s">
        <v>2622</v>
      </c>
      <c r="E633" s="16" t="str">
        <f t="array" ref="E633">_xlfn.XLOOKUP(F633, Filmes!$D$2:$D$344, Filmes!$A$2:$A$344, "")</f>
        <v>215</v>
      </c>
      <c r="F633" s="7" t="s">
        <v>2623</v>
      </c>
      <c r="G633" s="17" t="s">
        <v>4139</v>
      </c>
      <c r="H633" s="17" t="s">
        <v>4140</v>
      </c>
      <c r="I633" s="19">
        <v>3.0</v>
      </c>
      <c r="J633" s="5"/>
      <c r="K633" s="5"/>
      <c r="L633" s="5"/>
      <c r="M633" s="5"/>
    </row>
    <row r="634" ht="15.75" customHeight="1">
      <c r="A634" s="14">
        <v>46298.0</v>
      </c>
      <c r="B634" s="5" t="s">
        <v>4127</v>
      </c>
      <c r="C634" s="15">
        <v>0.9895833333333334</v>
      </c>
      <c r="D634" s="5" t="s">
        <v>2622</v>
      </c>
      <c r="E634" s="16" t="str">
        <f t="array" ref="E634">_xlfn.XLOOKUP(F634, Filmes!$D$2:$D$344, Filmes!$A$2:$A$344, "")</f>
        <v>216</v>
      </c>
      <c r="F634" s="7" t="s">
        <v>2639</v>
      </c>
      <c r="G634" s="17" t="s">
        <v>4130</v>
      </c>
      <c r="H634" s="17" t="s">
        <v>4131</v>
      </c>
      <c r="I634" s="19">
        <v>6.0</v>
      </c>
      <c r="J634" s="5"/>
      <c r="K634" s="5"/>
      <c r="L634" s="5"/>
      <c r="M634" s="5"/>
    </row>
    <row r="635" ht="15.75" customHeight="1">
      <c r="A635" s="14">
        <v>46299.0</v>
      </c>
      <c r="B635" s="5" t="s">
        <v>4136</v>
      </c>
      <c r="C635" s="15">
        <v>0.5833333333333334</v>
      </c>
      <c r="D635" s="5" t="s">
        <v>2622</v>
      </c>
      <c r="E635" s="16" t="str">
        <f t="array" ref="E635">_xlfn.XLOOKUP(F635, Filmes!$D$2:$D$344, Filmes!$A$2:$A$344, "")</f>
        <v>216</v>
      </c>
      <c r="F635" s="7" t="s">
        <v>2639</v>
      </c>
      <c r="G635" s="17" t="s">
        <v>4137</v>
      </c>
      <c r="H635" s="17" t="s">
        <v>4138</v>
      </c>
      <c r="I635" s="19">
        <v>1.0</v>
      </c>
      <c r="J635" s="5"/>
      <c r="K635" s="5"/>
      <c r="L635" s="5"/>
      <c r="M635" s="5"/>
    </row>
    <row r="636" ht="15.75" customHeight="1">
      <c r="A636" s="14">
        <v>46302.0</v>
      </c>
      <c r="B636" s="5" t="s">
        <v>4143</v>
      </c>
      <c r="C636" s="15">
        <v>0.875</v>
      </c>
      <c r="D636" s="5" t="s">
        <v>2622</v>
      </c>
      <c r="E636" s="16" t="str">
        <f t="array" ref="E636">_xlfn.XLOOKUP(F636, Filmes!$D$2:$D$344, Filmes!$A$2:$A$344, "")</f>
        <v>216</v>
      </c>
      <c r="F636" s="7" t="s">
        <v>2639</v>
      </c>
      <c r="G636" s="17" t="s">
        <v>4125</v>
      </c>
      <c r="H636" s="17" t="s">
        <v>4126</v>
      </c>
      <c r="I636" s="19">
        <v>2.0</v>
      </c>
      <c r="J636" s="5"/>
      <c r="K636" s="5"/>
      <c r="L636" s="5"/>
      <c r="M636" s="5"/>
    </row>
    <row r="637" ht="15.75" customHeight="1">
      <c r="A637" s="14">
        <v>46297.0</v>
      </c>
      <c r="B637" s="5" t="s">
        <v>4135</v>
      </c>
      <c r="C637" s="15">
        <v>0.9895833333333334</v>
      </c>
      <c r="D637" s="5" t="s">
        <v>2622</v>
      </c>
      <c r="E637" s="16" t="str">
        <f t="array" ref="E637">_xlfn.XLOOKUP(F637, Filmes!$D$2:$D$344, Filmes!$A$2:$A$344, "")</f>
        <v>217</v>
      </c>
      <c r="F637" s="7" t="s">
        <v>2652</v>
      </c>
      <c r="G637" s="17" t="s">
        <v>4130</v>
      </c>
      <c r="H637" s="17" t="s">
        <v>4131</v>
      </c>
      <c r="I637" s="19">
        <v>6.0</v>
      </c>
      <c r="J637" s="5"/>
      <c r="K637" s="5"/>
      <c r="L637" s="5"/>
      <c r="M637" s="5"/>
    </row>
    <row r="638" ht="15.75" customHeight="1">
      <c r="A638" s="14">
        <v>46299.0</v>
      </c>
      <c r="B638" s="5" t="s">
        <v>4136</v>
      </c>
      <c r="C638" s="15">
        <v>0.7916666666666666</v>
      </c>
      <c r="D638" s="5" t="s">
        <v>2622</v>
      </c>
      <c r="E638" s="16" t="str">
        <f t="array" ref="E638">_xlfn.XLOOKUP(F638, Filmes!$D$2:$D$344, Filmes!$A$2:$A$344, "")</f>
        <v>217</v>
      </c>
      <c r="F638" s="7" t="s">
        <v>2652</v>
      </c>
      <c r="G638" s="17" t="s">
        <v>4139</v>
      </c>
      <c r="H638" s="17" t="s">
        <v>4140</v>
      </c>
      <c r="I638" s="19">
        <v>5.0</v>
      </c>
      <c r="J638" s="5"/>
      <c r="K638" s="5"/>
      <c r="L638" s="5"/>
      <c r="M638" s="5"/>
    </row>
    <row r="639" ht="15.75" customHeight="1">
      <c r="A639" s="14">
        <v>46301.0</v>
      </c>
      <c r="B639" s="5" t="s">
        <v>4121</v>
      </c>
      <c r="C639" s="15">
        <v>0.8854166666666666</v>
      </c>
      <c r="D639" s="5" t="s">
        <v>2622</v>
      </c>
      <c r="E639" s="16" t="str">
        <f t="array" ref="E639">_xlfn.XLOOKUP(F639, Filmes!$D$2:$D$344, Filmes!$A$2:$A$344, "")</f>
        <v>217</v>
      </c>
      <c r="F639" s="7" t="s">
        <v>2652</v>
      </c>
      <c r="G639" s="17" t="s">
        <v>4137</v>
      </c>
      <c r="H639" s="17" t="s">
        <v>4138</v>
      </c>
      <c r="I639" s="19">
        <v>1.0</v>
      </c>
      <c r="J639" s="5"/>
      <c r="K639" s="5"/>
      <c r="L639" s="5"/>
      <c r="M639" s="5"/>
    </row>
    <row r="640" ht="15.75" customHeight="1">
      <c r="A640" s="14">
        <v>46300.0</v>
      </c>
      <c r="B640" s="5" t="s">
        <v>4132</v>
      </c>
      <c r="C640" s="15">
        <v>0.7916666666666666</v>
      </c>
      <c r="D640" s="5" t="s">
        <v>2622</v>
      </c>
      <c r="E640" s="16" t="str">
        <f t="array" ref="E640">_xlfn.XLOOKUP(F640, Filmes!$D$2:$D$344, Filmes!$A$2:$A$344, "")</f>
        <v>218</v>
      </c>
      <c r="F640" s="7" t="s">
        <v>2667</v>
      </c>
      <c r="G640" s="17" t="s">
        <v>4139</v>
      </c>
      <c r="H640" s="17" t="s">
        <v>4140</v>
      </c>
      <c r="I640" s="19">
        <v>5.0</v>
      </c>
      <c r="J640" s="5"/>
      <c r="K640" s="5"/>
      <c r="L640" s="5"/>
      <c r="M640" s="5"/>
    </row>
    <row r="641" ht="15.75" customHeight="1">
      <c r="A641" s="14">
        <v>46301.0</v>
      </c>
      <c r="B641" s="5" t="s">
        <v>4121</v>
      </c>
      <c r="C641" s="15">
        <v>0.8958333333333334</v>
      </c>
      <c r="D641" s="5" t="s">
        <v>2622</v>
      </c>
      <c r="E641" s="16" t="str">
        <f t="array" ref="E641">_xlfn.XLOOKUP(F641, Filmes!$D$2:$D$344, Filmes!$A$2:$A$344, "")</f>
        <v>218</v>
      </c>
      <c r="F641" s="7" t="s">
        <v>2667</v>
      </c>
      <c r="G641" s="17" t="s">
        <v>4125</v>
      </c>
      <c r="H641" s="17" t="s">
        <v>4126</v>
      </c>
      <c r="I641" s="19">
        <v>2.0</v>
      </c>
      <c r="J641" s="5"/>
      <c r="K641" s="5"/>
      <c r="L641" s="5"/>
      <c r="M641" s="5"/>
    </row>
    <row r="642" ht="15.75" customHeight="1">
      <c r="A642" s="14">
        <v>46304.0</v>
      </c>
      <c r="B642" s="5" t="s">
        <v>4135</v>
      </c>
      <c r="C642" s="15">
        <v>0.9895833333333334</v>
      </c>
      <c r="D642" s="5" t="s">
        <v>2622</v>
      </c>
      <c r="E642" s="16" t="str">
        <f t="array" ref="E642">_xlfn.XLOOKUP(F642, Filmes!$D$2:$D$344, Filmes!$A$2:$A$344, "")</f>
        <v>218</v>
      </c>
      <c r="F642" s="7" t="s">
        <v>2667</v>
      </c>
      <c r="G642" s="17" t="s">
        <v>4130</v>
      </c>
      <c r="H642" s="17" t="s">
        <v>4131</v>
      </c>
      <c r="I642" s="19">
        <v>6.0</v>
      </c>
      <c r="J642" s="5"/>
      <c r="K642" s="5"/>
      <c r="L642" s="5"/>
      <c r="M642" s="5"/>
    </row>
    <row r="643" ht="15.75" customHeight="1">
      <c r="A643" s="14">
        <v>46296.0</v>
      </c>
      <c r="B643" s="5" t="s">
        <v>4124</v>
      </c>
      <c r="C643" s="15">
        <v>0.7916666666666666</v>
      </c>
      <c r="D643" s="5" t="s">
        <v>2622</v>
      </c>
      <c r="E643" s="16" t="str">
        <f t="array" ref="E643">_xlfn.XLOOKUP(F643, Filmes!$D$2:$D$344, Filmes!$A$2:$A$344, "")</f>
        <v>219</v>
      </c>
      <c r="F643" s="7" t="s">
        <v>2681</v>
      </c>
      <c r="G643" s="17" t="s">
        <v>4130</v>
      </c>
      <c r="H643" s="17" t="s">
        <v>4131</v>
      </c>
      <c r="I643" s="19">
        <v>4.0</v>
      </c>
      <c r="J643" s="5"/>
      <c r="K643" s="5"/>
      <c r="L643" s="5"/>
      <c r="M643" s="5"/>
    </row>
    <row r="644" ht="15.75" customHeight="1">
      <c r="A644" s="14">
        <v>46301.0</v>
      </c>
      <c r="B644" s="5" t="s">
        <v>4121</v>
      </c>
      <c r="C644" s="15">
        <v>0.8541666666666666</v>
      </c>
      <c r="D644" s="5" t="s">
        <v>2622</v>
      </c>
      <c r="E644" s="16" t="str">
        <f t="array" ref="E644">_xlfn.XLOOKUP(F644, Filmes!$D$2:$D$344, Filmes!$A$2:$A$344, "")</f>
        <v>219</v>
      </c>
      <c r="F644" s="7" t="s">
        <v>2681</v>
      </c>
      <c r="G644" s="17" t="s">
        <v>4133</v>
      </c>
      <c r="H644" s="17" t="s">
        <v>4134</v>
      </c>
      <c r="I644" s="19">
        <v>2.0</v>
      </c>
      <c r="J644" s="5"/>
      <c r="K644" s="5"/>
      <c r="L644" s="5"/>
      <c r="M644" s="5"/>
    </row>
    <row r="645" ht="15.75" customHeight="1">
      <c r="A645" s="14">
        <v>46304.0</v>
      </c>
      <c r="B645" s="5" t="s">
        <v>4135</v>
      </c>
      <c r="C645" s="15">
        <v>0.6875</v>
      </c>
      <c r="D645" s="5" t="s">
        <v>2622</v>
      </c>
      <c r="E645" s="16" t="str">
        <f t="array" ref="E645">_xlfn.XLOOKUP(F645, Filmes!$D$2:$D$344, Filmes!$A$2:$A$344, "")</f>
        <v>219</v>
      </c>
      <c r="F645" s="7" t="s">
        <v>2681</v>
      </c>
      <c r="G645" s="17" t="s">
        <v>4139</v>
      </c>
      <c r="H645" s="17" t="s">
        <v>4140</v>
      </c>
      <c r="I645" s="19">
        <v>4.0</v>
      </c>
      <c r="J645" s="5"/>
      <c r="K645" s="5"/>
      <c r="L645" s="5"/>
      <c r="M645" s="5"/>
    </row>
    <row r="646" ht="15.75" customHeight="1">
      <c r="A646" s="14">
        <v>46297.0</v>
      </c>
      <c r="B646" s="5" t="s">
        <v>4135</v>
      </c>
      <c r="C646" s="15">
        <v>0.9791666666666666</v>
      </c>
      <c r="D646" s="5" t="s">
        <v>2622</v>
      </c>
      <c r="E646" s="16" t="str">
        <f t="array" ref="E646">_xlfn.XLOOKUP(F646, Filmes!$D$2:$D$344, Filmes!$A$2:$A$344, "")</f>
        <v>220</v>
      </c>
      <c r="F646" s="7" t="s">
        <v>2694</v>
      </c>
      <c r="G646" s="17" t="s">
        <v>4139</v>
      </c>
      <c r="H646" s="17" t="s">
        <v>4140</v>
      </c>
      <c r="I646" s="19">
        <v>5.0</v>
      </c>
      <c r="J646" s="5"/>
      <c r="K646" s="5"/>
      <c r="L646" s="5"/>
      <c r="M646" s="5"/>
    </row>
    <row r="647" ht="15.75" customHeight="1">
      <c r="A647" s="14">
        <v>46299.0</v>
      </c>
      <c r="B647" s="5" t="s">
        <v>4136</v>
      </c>
      <c r="C647" s="15">
        <v>0.6979166666666666</v>
      </c>
      <c r="D647" s="5" t="s">
        <v>2622</v>
      </c>
      <c r="E647" s="16" t="str">
        <f t="array" ref="E647">_xlfn.XLOOKUP(F647, Filmes!$D$2:$D$344, Filmes!$A$2:$A$344, "")</f>
        <v>220</v>
      </c>
      <c r="F647" s="7" t="s">
        <v>2694</v>
      </c>
      <c r="G647" s="17" t="s">
        <v>4130</v>
      </c>
      <c r="H647" s="17" t="s">
        <v>4131</v>
      </c>
      <c r="I647" s="19">
        <v>6.0</v>
      </c>
      <c r="J647" s="5"/>
      <c r="K647" s="5"/>
      <c r="L647" s="5"/>
      <c r="M647" s="5"/>
    </row>
    <row r="648" ht="15.75" customHeight="1">
      <c r="A648" s="14">
        <v>46305.0</v>
      </c>
      <c r="B648" s="5" t="s">
        <v>4127</v>
      </c>
      <c r="C648" s="15">
        <v>0.8958333333333334</v>
      </c>
      <c r="D648" s="5" t="s">
        <v>2622</v>
      </c>
      <c r="E648" s="16" t="str">
        <f t="array" ref="E648">_xlfn.XLOOKUP(F648, Filmes!$D$2:$D$344, Filmes!$A$2:$A$344, "")</f>
        <v>220</v>
      </c>
      <c r="F648" s="7" t="s">
        <v>2694</v>
      </c>
      <c r="G648" s="17" t="s">
        <v>4125</v>
      </c>
      <c r="H648" s="17" t="s">
        <v>4126</v>
      </c>
      <c r="I648" s="19">
        <v>2.0</v>
      </c>
      <c r="J648" s="5"/>
      <c r="K648" s="5"/>
      <c r="L648" s="5"/>
      <c r="M648" s="5"/>
    </row>
    <row r="649" ht="15.75" customHeight="1">
      <c r="A649" s="14">
        <v>46299.0</v>
      </c>
      <c r="B649" s="5" t="s">
        <v>4136</v>
      </c>
      <c r="C649" s="15">
        <v>0.78125</v>
      </c>
      <c r="D649" s="5" t="s">
        <v>2622</v>
      </c>
      <c r="E649" s="16" t="str">
        <f t="array" ref="E649">_xlfn.XLOOKUP(F649, Filmes!$D$2:$D$344, Filmes!$A$2:$A$344, "")</f>
        <v>221</v>
      </c>
      <c r="F649" s="7" t="s">
        <v>2706</v>
      </c>
      <c r="G649" s="17" t="s">
        <v>4139</v>
      </c>
      <c r="H649" s="17" t="s">
        <v>4140</v>
      </c>
      <c r="I649" s="19">
        <v>4.0</v>
      </c>
      <c r="J649" s="5"/>
      <c r="K649" s="5"/>
      <c r="L649" s="5"/>
      <c r="M649" s="5"/>
    </row>
    <row r="650" ht="15.75" customHeight="1">
      <c r="A650" s="14">
        <v>46302.0</v>
      </c>
      <c r="B650" s="5" t="s">
        <v>4143</v>
      </c>
      <c r="C650" s="15">
        <v>0.8333333333333334</v>
      </c>
      <c r="D650" s="5" t="s">
        <v>2622</v>
      </c>
      <c r="E650" s="16" t="str">
        <f t="array" ref="E650">_xlfn.XLOOKUP(F650, Filmes!$D$2:$D$344, Filmes!$A$2:$A$344, "")</f>
        <v>221</v>
      </c>
      <c r="F650" s="7" t="s">
        <v>2706</v>
      </c>
      <c r="G650" s="17" t="s">
        <v>4133</v>
      </c>
      <c r="H650" s="17" t="s">
        <v>4134</v>
      </c>
      <c r="I650" s="19">
        <v>2.0</v>
      </c>
      <c r="J650" s="5"/>
      <c r="K650" s="5"/>
      <c r="L650" s="5"/>
      <c r="M650" s="5"/>
    </row>
    <row r="651" ht="15.75" customHeight="1">
      <c r="A651" s="14">
        <v>46306.0</v>
      </c>
      <c r="B651" s="5" t="s">
        <v>4136</v>
      </c>
      <c r="C651" s="15">
        <v>0.9791666666666666</v>
      </c>
      <c r="D651" s="5" t="s">
        <v>2622</v>
      </c>
      <c r="E651" s="16" t="str">
        <f t="array" ref="E651">_xlfn.XLOOKUP(F651, Filmes!$D$2:$D$344, Filmes!$A$2:$A$344, "")</f>
        <v>221</v>
      </c>
      <c r="F651" s="7" t="s">
        <v>2706</v>
      </c>
      <c r="G651" s="17" t="s">
        <v>4130</v>
      </c>
      <c r="H651" s="17" t="s">
        <v>4131</v>
      </c>
      <c r="I651" s="19">
        <v>6.0</v>
      </c>
      <c r="J651" s="5"/>
      <c r="K651" s="5"/>
      <c r="L651" s="5"/>
      <c r="M651" s="5"/>
    </row>
    <row r="652" ht="15.75" customHeight="1">
      <c r="A652" s="14">
        <v>46296.0</v>
      </c>
      <c r="B652" s="5" t="s">
        <v>4124</v>
      </c>
      <c r="C652" s="15">
        <v>0.7916666666666666</v>
      </c>
      <c r="D652" s="5" t="s">
        <v>2622</v>
      </c>
      <c r="E652" s="16" t="str">
        <f t="array" ref="E652">_xlfn.XLOOKUP(F652, Filmes!$D$2:$D$344, Filmes!$A$2:$A$344, "")</f>
        <v>222</v>
      </c>
      <c r="F652" s="7" t="s">
        <v>2719</v>
      </c>
      <c r="G652" s="17" t="s">
        <v>4128</v>
      </c>
      <c r="H652" s="17" t="s">
        <v>4129</v>
      </c>
      <c r="I652" s="19">
        <v>1.0</v>
      </c>
      <c r="J652" s="5"/>
      <c r="K652" s="5"/>
      <c r="L652" s="5"/>
      <c r="M652" s="5"/>
    </row>
    <row r="653" ht="15.75" customHeight="1">
      <c r="A653" s="14">
        <v>46300.0</v>
      </c>
      <c r="B653" s="5" t="s">
        <v>4132</v>
      </c>
      <c r="C653" s="15">
        <v>0.6875</v>
      </c>
      <c r="D653" s="5" t="s">
        <v>2622</v>
      </c>
      <c r="E653" s="16" t="str">
        <f t="array" ref="E653">_xlfn.XLOOKUP(F653, Filmes!$D$2:$D$344, Filmes!$A$2:$A$344, "")</f>
        <v>222</v>
      </c>
      <c r="F653" s="7" t="s">
        <v>2719</v>
      </c>
      <c r="G653" s="17" t="s">
        <v>4125</v>
      </c>
      <c r="H653" s="17" t="s">
        <v>4126</v>
      </c>
      <c r="I653" s="19">
        <v>2.0</v>
      </c>
      <c r="J653" s="5"/>
      <c r="K653" s="5"/>
      <c r="L653" s="5"/>
      <c r="M653" s="5"/>
    </row>
    <row r="654" ht="15.75" customHeight="1">
      <c r="A654" s="14">
        <v>46305.0</v>
      </c>
      <c r="B654" s="5" t="s">
        <v>4127</v>
      </c>
      <c r="C654" s="15">
        <v>0.9895833333333334</v>
      </c>
      <c r="D654" s="5" t="s">
        <v>2622</v>
      </c>
      <c r="E654" s="16" t="str">
        <f t="array" ref="E654">_xlfn.XLOOKUP(F654, Filmes!$D$2:$D$344, Filmes!$A$2:$A$344, "")</f>
        <v>222</v>
      </c>
      <c r="F654" s="7" t="s">
        <v>2719</v>
      </c>
      <c r="G654" s="17" t="s">
        <v>4130</v>
      </c>
      <c r="H654" s="17" t="s">
        <v>4131</v>
      </c>
      <c r="I654" s="19">
        <v>6.0</v>
      </c>
      <c r="J654" s="5"/>
      <c r="K654" s="5"/>
      <c r="L654" s="5"/>
      <c r="M654" s="5"/>
    </row>
    <row r="655" ht="15.75" customHeight="1">
      <c r="A655" s="14">
        <v>46306.0</v>
      </c>
      <c r="B655" s="5" t="s">
        <v>4136</v>
      </c>
      <c r="C655" s="15">
        <v>0.8854166666666666</v>
      </c>
      <c r="D655" s="5" t="s">
        <v>2622</v>
      </c>
      <c r="E655" s="16" t="str">
        <f t="array" ref="E655">_xlfn.XLOOKUP(F655, Filmes!$D$2:$D$344, Filmes!$A$2:$A$344, "")</f>
        <v>222</v>
      </c>
      <c r="F655" s="7" t="s">
        <v>2719</v>
      </c>
      <c r="G655" s="17" t="s">
        <v>4137</v>
      </c>
      <c r="H655" s="17" t="s">
        <v>4138</v>
      </c>
      <c r="I655" s="19">
        <v>1.0</v>
      </c>
      <c r="J655" s="5"/>
      <c r="K655" s="5"/>
      <c r="L655" s="5"/>
      <c r="M655" s="5"/>
    </row>
    <row r="656" ht="15.75" customHeight="1">
      <c r="A656" s="14">
        <v>46304.0</v>
      </c>
      <c r="B656" s="5" t="s">
        <v>4135</v>
      </c>
      <c r="C656" s="15">
        <v>0.5729166666666666</v>
      </c>
      <c r="D656" s="5" t="s">
        <v>2622</v>
      </c>
      <c r="E656" s="16" t="str">
        <f t="array" ref="E656">_xlfn.XLOOKUP(F656, Filmes!$D$2:$D$344, Filmes!$A$2:$A$344, "")</f>
        <v>223</v>
      </c>
      <c r="F656" s="7" t="s">
        <v>2733</v>
      </c>
      <c r="G656" s="17" t="s">
        <v>4130</v>
      </c>
      <c r="H656" s="17" t="s">
        <v>4131</v>
      </c>
      <c r="I656" s="19">
        <v>3.0</v>
      </c>
      <c r="J656" s="5"/>
      <c r="K656" s="5"/>
      <c r="L656" s="5"/>
      <c r="M656" s="5"/>
    </row>
    <row r="657" ht="15.75" customHeight="1">
      <c r="A657" s="14">
        <v>46305.0</v>
      </c>
      <c r="B657" s="5" t="s">
        <v>4127</v>
      </c>
      <c r="C657" s="15">
        <v>0.9791666666666666</v>
      </c>
      <c r="D657" s="5" t="s">
        <v>2622</v>
      </c>
      <c r="E657" s="16" t="str">
        <f t="array" ref="E657">_xlfn.XLOOKUP(F657, Filmes!$D$2:$D$344, Filmes!$A$2:$A$344, "")</f>
        <v>223</v>
      </c>
      <c r="F657" s="7" t="s">
        <v>2733</v>
      </c>
      <c r="G657" s="17" t="s">
        <v>4139</v>
      </c>
      <c r="H657" s="17" t="s">
        <v>4140</v>
      </c>
      <c r="I657" s="19">
        <v>5.0</v>
      </c>
      <c r="J657" s="5"/>
      <c r="K657" s="5"/>
      <c r="L657" s="5"/>
      <c r="M657" s="5"/>
    </row>
    <row r="658" ht="15.75" customHeight="1">
      <c r="A658" s="14">
        <v>46309.0</v>
      </c>
      <c r="B658" s="5" t="s">
        <v>4143</v>
      </c>
      <c r="C658" s="15">
        <v>0.875</v>
      </c>
      <c r="D658" s="5" t="s">
        <v>2622</v>
      </c>
      <c r="E658" s="16" t="str">
        <f t="array" ref="E658">_xlfn.XLOOKUP(F658, Filmes!$D$2:$D$344, Filmes!$A$2:$A$344, "")</f>
        <v>223</v>
      </c>
      <c r="F658" s="7" t="s">
        <v>2733</v>
      </c>
      <c r="G658" s="17" t="s">
        <v>4139</v>
      </c>
      <c r="H658" s="17" t="s">
        <v>4140</v>
      </c>
      <c r="I658" s="19">
        <v>4.0</v>
      </c>
      <c r="J658" s="5"/>
      <c r="K658" s="5"/>
      <c r="L658" s="5"/>
      <c r="M658" s="5"/>
    </row>
    <row r="659" ht="15.75" customHeight="1">
      <c r="A659" s="14">
        <v>46297.0</v>
      </c>
      <c r="B659" s="5" t="s">
        <v>4135</v>
      </c>
      <c r="C659" s="15">
        <v>0.7708333333333334</v>
      </c>
      <c r="D659" s="5" t="s">
        <v>2744</v>
      </c>
      <c r="E659" s="16" t="str">
        <f t="array" ref="E659">_xlfn.XLOOKUP(F659, Filmes!$D$2:$D$344, Filmes!$A$2:$A$344, "")</f>
        <v>224</v>
      </c>
      <c r="F659" s="7" t="s">
        <v>2746</v>
      </c>
      <c r="G659" s="17" t="s">
        <v>4139</v>
      </c>
      <c r="H659" s="17" t="s">
        <v>4140</v>
      </c>
      <c r="I659" s="19">
        <v>3.0</v>
      </c>
      <c r="J659" s="5"/>
      <c r="K659" s="5"/>
      <c r="L659" s="5"/>
      <c r="M659" s="5"/>
    </row>
    <row r="660" ht="15.75" customHeight="1">
      <c r="A660" s="14">
        <v>46300.0</v>
      </c>
      <c r="B660" s="5" t="s">
        <v>4132</v>
      </c>
      <c r="C660" s="15">
        <v>0.6666666666666666</v>
      </c>
      <c r="D660" s="5" t="s">
        <v>2744</v>
      </c>
      <c r="E660" s="16" t="str">
        <f t="array" ref="E660">_xlfn.XLOOKUP(F660, Filmes!$D$2:$D$344, Filmes!$A$2:$A$344, "")</f>
        <v>224</v>
      </c>
      <c r="F660" s="7" t="s">
        <v>2746</v>
      </c>
      <c r="G660" s="17" t="s">
        <v>4133</v>
      </c>
      <c r="H660" s="17" t="s">
        <v>4134</v>
      </c>
      <c r="I660" s="19">
        <v>1.0</v>
      </c>
      <c r="J660" s="5"/>
      <c r="K660" s="5"/>
      <c r="L660" s="5"/>
      <c r="M660" s="5"/>
    </row>
    <row r="661" ht="15.75" customHeight="1">
      <c r="A661" s="14">
        <v>46305.0</v>
      </c>
      <c r="B661" s="5" t="s">
        <v>4127</v>
      </c>
      <c r="C661" s="15">
        <v>0.9027777777777778</v>
      </c>
      <c r="D661" s="5" t="s">
        <v>2744</v>
      </c>
      <c r="E661" s="16" t="str">
        <f t="array" ref="E661">_xlfn.XLOOKUP(F661, Filmes!$D$2:$D$344, Filmes!$A$2:$A$344, "")</f>
        <v>224</v>
      </c>
      <c r="F661" s="7" t="s">
        <v>2746</v>
      </c>
      <c r="G661" s="17" t="s">
        <v>4130</v>
      </c>
      <c r="H661" s="17" t="s">
        <v>4131</v>
      </c>
      <c r="I661" s="19">
        <v>3.0</v>
      </c>
      <c r="J661" s="5"/>
      <c r="K661" s="5"/>
      <c r="L661" s="5"/>
      <c r="M661" s="5"/>
    </row>
    <row r="662" ht="15.75" customHeight="1">
      <c r="A662" s="14">
        <v>46298.0</v>
      </c>
      <c r="B662" s="5" t="s">
        <v>4127</v>
      </c>
      <c r="C662" s="15">
        <v>0.5729166666666666</v>
      </c>
      <c r="D662" s="5" t="s">
        <v>2744</v>
      </c>
      <c r="E662" s="16" t="str">
        <f t="array" ref="E662">_xlfn.XLOOKUP(F662, Filmes!$D$2:$D$344, Filmes!$A$2:$A$344, "")</f>
        <v>225</v>
      </c>
      <c r="F662" s="7" t="s">
        <v>2756</v>
      </c>
      <c r="G662" s="17" t="s">
        <v>4133</v>
      </c>
      <c r="H662" s="17" t="s">
        <v>4134</v>
      </c>
      <c r="I662" s="19">
        <v>2.0</v>
      </c>
      <c r="J662" s="5"/>
      <c r="K662" s="5"/>
      <c r="L662" s="5"/>
      <c r="M662" s="5"/>
    </row>
    <row r="663" ht="15.75" customHeight="1">
      <c r="A663" s="14">
        <v>46304.0</v>
      </c>
      <c r="B663" s="5" t="s">
        <v>4135</v>
      </c>
      <c r="C663" s="15">
        <v>0.7708333333333334</v>
      </c>
      <c r="D663" s="5" t="s">
        <v>2744</v>
      </c>
      <c r="E663" s="16" t="str">
        <f t="array" ref="E663">_xlfn.XLOOKUP(F663, Filmes!$D$2:$D$344, Filmes!$A$2:$A$344, "")</f>
        <v>225</v>
      </c>
      <c r="F663" s="7" t="s">
        <v>2756</v>
      </c>
      <c r="G663" s="17" t="s">
        <v>4130</v>
      </c>
      <c r="H663" s="17" t="s">
        <v>4131</v>
      </c>
      <c r="I663" s="19">
        <v>2.0</v>
      </c>
      <c r="J663" s="5"/>
      <c r="K663" s="5"/>
      <c r="L663" s="5"/>
      <c r="M663" s="5"/>
    </row>
    <row r="664" ht="15.75" customHeight="1">
      <c r="A664" s="14">
        <v>46308.0</v>
      </c>
      <c r="B664" s="5" t="s">
        <v>4121</v>
      </c>
      <c r="C664" s="15">
        <v>0.8958333333333334</v>
      </c>
      <c r="D664" s="5" t="s">
        <v>2744</v>
      </c>
      <c r="E664" s="16" t="str">
        <f t="array" ref="E664">_xlfn.XLOOKUP(F664, Filmes!$D$2:$D$344, Filmes!$A$2:$A$344, "")</f>
        <v>225</v>
      </c>
      <c r="F664" s="7" t="s">
        <v>2756</v>
      </c>
      <c r="G664" s="17" t="s">
        <v>4139</v>
      </c>
      <c r="H664" s="17" t="s">
        <v>4140</v>
      </c>
      <c r="I664" s="19">
        <v>5.0</v>
      </c>
      <c r="J664" s="5"/>
      <c r="K664" s="5"/>
      <c r="L664" s="5"/>
      <c r="M664" s="5"/>
    </row>
    <row r="665" ht="15.75" customHeight="1">
      <c r="A665" s="14">
        <v>46297.0</v>
      </c>
      <c r="B665" s="5" t="s">
        <v>4135</v>
      </c>
      <c r="C665" s="15">
        <v>0.8958333333333334</v>
      </c>
      <c r="D665" s="5" t="s">
        <v>2744</v>
      </c>
      <c r="E665" s="16" t="str">
        <f t="array" ref="E665">_xlfn.XLOOKUP(F665, Filmes!$D$2:$D$344, Filmes!$A$2:$A$344, "")</f>
        <v>226</v>
      </c>
      <c r="F665" s="7" t="s">
        <v>2770</v>
      </c>
      <c r="G665" s="17" t="s">
        <v>4130</v>
      </c>
      <c r="H665" s="17" t="s">
        <v>4131</v>
      </c>
      <c r="I665" s="19">
        <v>5.0</v>
      </c>
      <c r="J665" s="5"/>
      <c r="K665" s="5"/>
      <c r="L665" s="5"/>
      <c r="M665" s="5"/>
    </row>
    <row r="666" ht="15.75" customHeight="1">
      <c r="A666" s="14">
        <v>46299.0</v>
      </c>
      <c r="B666" s="5" t="s">
        <v>4136</v>
      </c>
      <c r="C666" s="15">
        <v>0.7604166666666666</v>
      </c>
      <c r="D666" s="5" t="s">
        <v>2744</v>
      </c>
      <c r="E666" s="16" t="str">
        <f t="array" ref="E666">_xlfn.XLOOKUP(F666, Filmes!$D$2:$D$344, Filmes!$A$2:$A$344, "")</f>
        <v>226</v>
      </c>
      <c r="F666" s="7" t="s">
        <v>2770</v>
      </c>
      <c r="G666" s="17" t="s">
        <v>4141</v>
      </c>
      <c r="H666" s="17" t="s">
        <v>4142</v>
      </c>
      <c r="I666" s="19"/>
      <c r="J666" s="5"/>
      <c r="K666" s="5"/>
      <c r="L666" s="5"/>
      <c r="M666" s="5"/>
    </row>
    <row r="667" ht="15.75" customHeight="1">
      <c r="A667" s="14">
        <v>46302.0</v>
      </c>
      <c r="B667" s="5" t="s">
        <v>4143</v>
      </c>
      <c r="C667" s="15">
        <v>0.6770833333333334</v>
      </c>
      <c r="D667" s="5" t="s">
        <v>2744</v>
      </c>
      <c r="E667" s="16" t="str">
        <f t="array" ref="E667">_xlfn.XLOOKUP(F667, Filmes!$D$2:$D$344, Filmes!$A$2:$A$344, "")</f>
        <v>226</v>
      </c>
      <c r="F667" s="7" t="s">
        <v>2770</v>
      </c>
      <c r="G667" s="17" t="s">
        <v>4139</v>
      </c>
      <c r="H667" s="17" t="s">
        <v>4140</v>
      </c>
      <c r="I667" s="19">
        <v>3.0</v>
      </c>
      <c r="J667" s="5"/>
      <c r="K667" s="5"/>
      <c r="L667" s="5"/>
      <c r="M667" s="5"/>
    </row>
    <row r="668" ht="15.75" customHeight="1">
      <c r="A668" s="14">
        <v>46297.0</v>
      </c>
      <c r="B668" s="5" t="s">
        <v>4135</v>
      </c>
      <c r="C668" s="15">
        <v>0.6666666666666666</v>
      </c>
      <c r="D668" s="5" t="s">
        <v>2744</v>
      </c>
      <c r="E668" s="16" t="str">
        <f t="array" ref="E668">_xlfn.XLOOKUP(F668, Filmes!$D$2:$D$344, Filmes!$A$2:$A$344, "")</f>
        <v>227</v>
      </c>
      <c r="F668" s="7" t="s">
        <v>2781</v>
      </c>
      <c r="G668" s="17" t="s">
        <v>4133</v>
      </c>
      <c r="H668" s="17" t="s">
        <v>4134</v>
      </c>
      <c r="I668" s="19">
        <v>1.0</v>
      </c>
      <c r="J668" s="5"/>
      <c r="K668" s="5"/>
      <c r="L668" s="5"/>
      <c r="M668" s="5"/>
    </row>
    <row r="669" ht="15.75" customHeight="1">
      <c r="A669" s="14">
        <v>46299.0</v>
      </c>
      <c r="B669" s="5" t="s">
        <v>4136</v>
      </c>
      <c r="C669" s="15">
        <v>0.875</v>
      </c>
      <c r="D669" s="5" t="s">
        <v>2744</v>
      </c>
      <c r="E669" s="16" t="str">
        <f t="array" ref="E669">_xlfn.XLOOKUP(F669, Filmes!$D$2:$D$344, Filmes!$A$2:$A$344, "")</f>
        <v>227</v>
      </c>
      <c r="F669" s="7" t="s">
        <v>2781</v>
      </c>
      <c r="G669" s="17" t="s">
        <v>4139</v>
      </c>
      <c r="H669" s="17" t="s">
        <v>4140</v>
      </c>
      <c r="I669" s="19">
        <v>3.0</v>
      </c>
      <c r="J669" s="5"/>
      <c r="K669" s="5"/>
      <c r="L669" s="5"/>
      <c r="M669" s="5"/>
    </row>
    <row r="670" ht="15.75" customHeight="1">
      <c r="A670" s="14">
        <v>46303.0</v>
      </c>
      <c r="B670" s="5" t="s">
        <v>4124</v>
      </c>
      <c r="C670" s="15">
        <v>0.7916666666666666</v>
      </c>
      <c r="D670" s="5" t="s">
        <v>2744</v>
      </c>
      <c r="E670" s="16" t="str">
        <f t="array" ref="E670">_xlfn.XLOOKUP(F670, Filmes!$D$2:$D$344, Filmes!$A$2:$A$344, "")</f>
        <v>227</v>
      </c>
      <c r="F670" s="7" t="s">
        <v>2781</v>
      </c>
      <c r="G670" s="17" t="s">
        <v>4130</v>
      </c>
      <c r="H670" s="17" t="s">
        <v>4131</v>
      </c>
      <c r="I670" s="19">
        <v>1.0</v>
      </c>
      <c r="J670" s="5"/>
      <c r="K670" s="5"/>
      <c r="L670" s="5"/>
      <c r="M670" s="5"/>
    </row>
    <row r="671" ht="15.75" customHeight="1">
      <c r="A671" s="14">
        <v>46296.0</v>
      </c>
      <c r="B671" s="5" t="s">
        <v>4124</v>
      </c>
      <c r="C671" s="15">
        <v>0.8645833333333334</v>
      </c>
      <c r="D671" s="5" t="s">
        <v>2744</v>
      </c>
      <c r="E671" s="16" t="str">
        <f t="array" ref="E671">_xlfn.XLOOKUP(F671, Filmes!$D$2:$D$344, Filmes!$A$2:$A$344, "")</f>
        <v>228</v>
      </c>
      <c r="F671" s="7" t="s">
        <v>2795</v>
      </c>
      <c r="G671" s="17" t="s">
        <v>4128</v>
      </c>
      <c r="H671" s="17" t="s">
        <v>4129</v>
      </c>
      <c r="I671" s="19">
        <v>3.0</v>
      </c>
      <c r="J671" s="5"/>
      <c r="K671" s="5"/>
      <c r="L671" s="5"/>
      <c r="M671" s="5"/>
    </row>
    <row r="672" ht="15.75" customHeight="1">
      <c r="A672" s="14">
        <v>46299.0</v>
      </c>
      <c r="B672" s="5" t="s">
        <v>4136</v>
      </c>
      <c r="C672" s="15">
        <v>0.7604166666666666</v>
      </c>
      <c r="D672" s="5" t="s">
        <v>2744</v>
      </c>
      <c r="E672" s="16" t="str">
        <f t="array" ref="E672">_xlfn.XLOOKUP(F672, Filmes!$D$2:$D$344, Filmes!$A$2:$A$344, "")</f>
        <v>228</v>
      </c>
      <c r="F672" s="7" t="s">
        <v>2795</v>
      </c>
      <c r="G672" s="17" t="s">
        <v>4133</v>
      </c>
      <c r="H672" s="17" t="s">
        <v>4134</v>
      </c>
      <c r="I672" s="19">
        <v>1.0</v>
      </c>
      <c r="J672" s="5"/>
      <c r="K672" s="5"/>
      <c r="L672" s="5"/>
      <c r="M672" s="5"/>
    </row>
    <row r="673" ht="15.75" customHeight="1">
      <c r="A673" s="14">
        <v>46302.0</v>
      </c>
      <c r="B673" s="5" t="s">
        <v>4143</v>
      </c>
      <c r="C673" s="15">
        <v>0.6770833333333334</v>
      </c>
      <c r="D673" s="5" t="s">
        <v>2744</v>
      </c>
      <c r="E673" s="16" t="str">
        <f t="array" ref="E673">_xlfn.XLOOKUP(F673, Filmes!$D$2:$D$344, Filmes!$A$2:$A$344, "")</f>
        <v>228</v>
      </c>
      <c r="F673" s="7" t="s">
        <v>2795</v>
      </c>
      <c r="G673" s="17" t="s">
        <v>4130</v>
      </c>
      <c r="H673" s="17" t="s">
        <v>4131</v>
      </c>
      <c r="I673" s="19">
        <v>5.0</v>
      </c>
      <c r="J673" s="5"/>
      <c r="K673" s="5"/>
      <c r="L673" s="5"/>
      <c r="M673" s="5"/>
    </row>
    <row r="674" ht="15.75" customHeight="1">
      <c r="A674" s="14">
        <v>46299.0</v>
      </c>
      <c r="B674" s="5" t="s">
        <v>4136</v>
      </c>
      <c r="C674" s="15">
        <v>0.5833333333333334</v>
      </c>
      <c r="D674" s="5" t="s">
        <v>2744</v>
      </c>
      <c r="E674" s="16" t="str">
        <f t="array" ref="E674">_xlfn.XLOOKUP(F674, Filmes!$D$2:$D$344, Filmes!$A$2:$A$344, "")</f>
        <v>229</v>
      </c>
      <c r="F674" s="7" t="s">
        <v>2809</v>
      </c>
      <c r="G674" s="17" t="s">
        <v>4133</v>
      </c>
      <c r="H674" s="17" t="s">
        <v>4134</v>
      </c>
      <c r="I674" s="19">
        <v>1.0</v>
      </c>
      <c r="J674" s="5"/>
      <c r="K674" s="5"/>
      <c r="L674" s="5"/>
      <c r="M674" s="5"/>
    </row>
    <row r="675" ht="15.75" customHeight="1">
      <c r="A675" s="14">
        <v>46301.0</v>
      </c>
      <c r="B675" s="5" t="s">
        <v>4121</v>
      </c>
      <c r="C675" s="15">
        <v>0.8541666666666666</v>
      </c>
      <c r="D675" s="5" t="s">
        <v>2744</v>
      </c>
      <c r="E675" s="16" t="str">
        <f t="array" ref="E675">_xlfn.XLOOKUP(F675, Filmes!$D$2:$D$344, Filmes!$A$2:$A$344, "")</f>
        <v>229</v>
      </c>
      <c r="F675" s="7" t="s">
        <v>2809</v>
      </c>
      <c r="G675" s="17" t="s">
        <v>4141</v>
      </c>
      <c r="H675" s="17" t="s">
        <v>4142</v>
      </c>
      <c r="I675" s="19"/>
      <c r="J675" s="5"/>
      <c r="K675" s="5"/>
      <c r="L675" s="5"/>
      <c r="M675" s="5"/>
    </row>
    <row r="676" ht="15.75" customHeight="1">
      <c r="A676" s="14">
        <v>46306.0</v>
      </c>
      <c r="B676" s="5" t="s">
        <v>4136</v>
      </c>
      <c r="C676" s="15">
        <v>0.6770833333333334</v>
      </c>
      <c r="D676" s="5" t="s">
        <v>2744</v>
      </c>
      <c r="E676" s="16" t="str">
        <f t="array" ref="E676">_xlfn.XLOOKUP(F676, Filmes!$D$2:$D$344, Filmes!$A$2:$A$344, "")</f>
        <v>229</v>
      </c>
      <c r="F676" s="7" t="s">
        <v>2809</v>
      </c>
      <c r="G676" s="17" t="s">
        <v>4130</v>
      </c>
      <c r="H676" s="17" t="s">
        <v>4131</v>
      </c>
      <c r="I676" s="19">
        <v>5.0</v>
      </c>
      <c r="J676" s="5"/>
      <c r="K676" s="5"/>
      <c r="L676" s="5"/>
      <c r="M676" s="5"/>
    </row>
    <row r="677" ht="15.75" customHeight="1">
      <c r="A677" s="14">
        <v>46305.0</v>
      </c>
      <c r="B677" s="5" t="s">
        <v>4127</v>
      </c>
      <c r="C677" s="15">
        <v>0.8125</v>
      </c>
      <c r="D677" s="5" t="s">
        <v>2820</v>
      </c>
      <c r="E677" s="16" t="str">
        <f t="array" ref="E677">_xlfn.XLOOKUP(F677, Filmes!$D$2:$D$344, Filmes!$A$2:$A$344, "")</f>
        <v>230</v>
      </c>
      <c r="F677" s="7" t="s">
        <v>2821</v>
      </c>
      <c r="G677" s="17" t="s">
        <v>4122</v>
      </c>
      <c r="H677" s="17" t="s">
        <v>4123</v>
      </c>
      <c r="I677" s="19"/>
      <c r="J677" s="5"/>
      <c r="K677" s="5"/>
      <c r="L677" s="5" t="s">
        <v>65</v>
      </c>
      <c r="M677" s="5"/>
    </row>
    <row r="678" ht="15.75" customHeight="1">
      <c r="A678" s="14">
        <v>46304.0</v>
      </c>
      <c r="B678" s="5" t="s">
        <v>4135</v>
      </c>
      <c r="C678" s="15">
        <v>0.78125</v>
      </c>
      <c r="D678" s="5" t="s">
        <v>2820</v>
      </c>
      <c r="E678" s="16" t="str">
        <f t="array" ref="E678">_xlfn.XLOOKUP(F678, Filmes!$D$2:$D$344, Filmes!$A$2:$A$344, "")</f>
        <v>231</v>
      </c>
      <c r="F678" s="7" t="s">
        <v>2833</v>
      </c>
      <c r="G678" s="17" t="s">
        <v>4128</v>
      </c>
      <c r="H678" s="17" t="s">
        <v>4129</v>
      </c>
      <c r="I678" s="19">
        <v>1.0</v>
      </c>
      <c r="J678" s="5"/>
      <c r="K678" s="5"/>
      <c r="L678" s="5" t="s">
        <v>65</v>
      </c>
      <c r="M678" s="5"/>
    </row>
    <row r="679" ht="15.75" customHeight="1">
      <c r="A679" s="14">
        <v>46304.0</v>
      </c>
      <c r="B679" s="5" t="s">
        <v>4135</v>
      </c>
      <c r="C679" s="15">
        <v>0.78125</v>
      </c>
      <c r="D679" s="5" t="s">
        <v>2820</v>
      </c>
      <c r="E679" s="16" t="str">
        <f t="array" ref="E679">_xlfn.XLOOKUP(F679, Filmes!$D$2:$D$344, Filmes!$A$2:$A$344, "")</f>
        <v>231</v>
      </c>
      <c r="F679" s="7" t="s">
        <v>2833</v>
      </c>
      <c r="G679" s="17" t="s">
        <v>4128</v>
      </c>
      <c r="H679" s="17" t="s">
        <v>4129</v>
      </c>
      <c r="I679" s="19">
        <v>2.0</v>
      </c>
      <c r="J679" s="5"/>
      <c r="K679" s="5"/>
      <c r="L679" s="5" t="s">
        <v>65</v>
      </c>
      <c r="M679" s="5"/>
    </row>
    <row r="680" ht="15.75" customHeight="1">
      <c r="A680" s="14">
        <v>46305.0</v>
      </c>
      <c r="B680" s="5" t="s">
        <v>4127</v>
      </c>
      <c r="C680" s="15">
        <v>0.6770833333333334</v>
      </c>
      <c r="D680" s="5" t="s">
        <v>2820</v>
      </c>
      <c r="E680" s="16" t="str">
        <f t="array" ref="E680">_xlfn.XLOOKUP(F680, Filmes!$D$2:$D$344, Filmes!$A$2:$A$344, "")</f>
        <v>231</v>
      </c>
      <c r="F680" s="7" t="s">
        <v>2833</v>
      </c>
      <c r="G680" s="17" t="s">
        <v>4139</v>
      </c>
      <c r="H680" s="17" t="s">
        <v>4140</v>
      </c>
      <c r="I680" s="19">
        <v>5.0</v>
      </c>
      <c r="J680" s="5"/>
      <c r="K680" s="5"/>
      <c r="L680" s="5"/>
      <c r="M680" s="5" t="s">
        <v>65</v>
      </c>
    </row>
    <row r="681" ht="15.75" customHeight="1">
      <c r="A681" s="14">
        <v>46305.0</v>
      </c>
      <c r="B681" s="5" t="s">
        <v>4127</v>
      </c>
      <c r="C681" s="15">
        <v>0.875</v>
      </c>
      <c r="D681" s="5" t="s">
        <v>2820</v>
      </c>
      <c r="E681" s="16" t="str">
        <f t="array" ref="E681">_xlfn.XLOOKUP(F681, Filmes!$D$2:$D$344, Filmes!$A$2:$A$344, "")</f>
        <v>231</v>
      </c>
      <c r="F681" s="7" t="s">
        <v>2833</v>
      </c>
      <c r="G681" s="17" t="s">
        <v>4130</v>
      </c>
      <c r="H681" s="17" t="s">
        <v>4131</v>
      </c>
      <c r="I681" s="19">
        <v>2.0</v>
      </c>
      <c r="J681" s="5"/>
      <c r="K681" s="5"/>
      <c r="L681" s="5"/>
      <c r="M681" s="5"/>
    </row>
    <row r="682" ht="15.75" customHeight="1">
      <c r="A682" s="14">
        <v>46304.0</v>
      </c>
      <c r="B682" s="5" t="s">
        <v>4135</v>
      </c>
      <c r="C682" s="15">
        <v>0.8020833333333334</v>
      </c>
      <c r="D682" s="5" t="s">
        <v>2820</v>
      </c>
      <c r="E682" s="16" t="str">
        <f t="array" ref="E682">_xlfn.XLOOKUP(F682, Filmes!$D$2:$D$344, Filmes!$A$2:$A$344, "")</f>
        <v>232</v>
      </c>
      <c r="F682" s="7" t="s">
        <v>2845</v>
      </c>
      <c r="G682" s="17" t="s">
        <v>4128</v>
      </c>
      <c r="H682" s="17" t="s">
        <v>4129</v>
      </c>
      <c r="I682" s="19">
        <v>4.0</v>
      </c>
      <c r="J682" s="10" t="s">
        <v>4162</v>
      </c>
      <c r="K682" s="5"/>
      <c r="L682" s="5" t="s">
        <v>65</v>
      </c>
      <c r="M682" s="5"/>
    </row>
    <row r="683" ht="15.75" customHeight="1">
      <c r="A683" s="14">
        <v>46304.0</v>
      </c>
      <c r="B683" s="5" t="s">
        <v>4135</v>
      </c>
      <c r="C683" s="15">
        <v>0.8020833333333334</v>
      </c>
      <c r="D683" s="5" t="s">
        <v>2820</v>
      </c>
      <c r="E683" s="16" t="str">
        <f t="array" ref="E683">_xlfn.XLOOKUP(F683, Filmes!$D$2:$D$344, Filmes!$A$2:$A$344, "")</f>
        <v>232</v>
      </c>
      <c r="F683" s="7" t="s">
        <v>2845</v>
      </c>
      <c r="G683" s="17" t="s">
        <v>4128</v>
      </c>
      <c r="H683" s="17" t="s">
        <v>4129</v>
      </c>
      <c r="I683" s="19">
        <v>5.0</v>
      </c>
      <c r="J683" s="10" t="s">
        <v>4162</v>
      </c>
      <c r="K683" s="5"/>
      <c r="L683" s="5" t="s">
        <v>65</v>
      </c>
      <c r="M683" s="5"/>
    </row>
    <row r="684" ht="15.75" customHeight="1">
      <c r="A684" s="14">
        <v>46305.0</v>
      </c>
      <c r="B684" s="5" t="s">
        <v>4127</v>
      </c>
      <c r="C684" s="15">
        <v>0.5416666666666666</v>
      </c>
      <c r="D684" s="5" t="s">
        <v>2820</v>
      </c>
      <c r="E684" s="16" t="str">
        <f t="array" ref="E684">_xlfn.XLOOKUP(F684, Filmes!$D$2:$D$344, Filmes!$A$2:$A$344, "")</f>
        <v>232</v>
      </c>
      <c r="F684" s="7" t="s">
        <v>2845</v>
      </c>
      <c r="G684" s="17" t="s">
        <v>4122</v>
      </c>
      <c r="H684" s="17" t="s">
        <v>4123</v>
      </c>
      <c r="I684" s="19"/>
      <c r="J684" s="10" t="s">
        <v>4162</v>
      </c>
      <c r="K684" s="5" t="s">
        <v>65</v>
      </c>
      <c r="L684" s="5"/>
      <c r="M684" s="5" t="s">
        <v>65</v>
      </c>
    </row>
    <row r="685" ht="15.75" customHeight="1">
      <c r="A685" s="14">
        <v>46305.0</v>
      </c>
      <c r="B685" s="5" t="s">
        <v>4127</v>
      </c>
      <c r="C685" s="15">
        <v>0.7916666666666666</v>
      </c>
      <c r="D685" s="5" t="s">
        <v>2820</v>
      </c>
      <c r="E685" s="16" t="str">
        <f t="array" ref="E685">_xlfn.XLOOKUP(F685, Filmes!$D$2:$D$344, Filmes!$A$2:$A$344, "")</f>
        <v>232</v>
      </c>
      <c r="F685" s="7" t="s">
        <v>2845</v>
      </c>
      <c r="G685" s="17" t="s">
        <v>4130</v>
      </c>
      <c r="H685" s="17" t="s">
        <v>4131</v>
      </c>
      <c r="I685" s="19">
        <v>1.0</v>
      </c>
      <c r="J685" s="5" t="s">
        <v>4162</v>
      </c>
      <c r="K685" s="5"/>
      <c r="L685" s="5"/>
      <c r="M685" s="5"/>
    </row>
    <row r="686" ht="15.75" customHeight="1">
      <c r="A686" s="14">
        <v>46302.0</v>
      </c>
      <c r="B686" s="5" t="s">
        <v>4143</v>
      </c>
      <c r="C686" s="15">
        <v>0.90625</v>
      </c>
      <c r="D686" s="5" t="s">
        <v>2820</v>
      </c>
      <c r="E686" s="16" t="str">
        <f t="array" ref="E686">_xlfn.XLOOKUP(F686, Filmes!$D$2:$D$344, Filmes!$A$2:$A$344, "")</f>
        <v>233</v>
      </c>
      <c r="F686" s="7" t="s">
        <v>2856</v>
      </c>
      <c r="G686" s="17" t="s">
        <v>4128</v>
      </c>
      <c r="H686" s="17" t="s">
        <v>4129</v>
      </c>
      <c r="I686" s="19">
        <v>4.0</v>
      </c>
      <c r="J686" s="10" t="s">
        <v>4163</v>
      </c>
      <c r="K686" s="5"/>
      <c r="L686" s="5" t="s">
        <v>65</v>
      </c>
      <c r="M686" s="5"/>
    </row>
    <row r="687" ht="15.75" customHeight="1">
      <c r="A687" s="14">
        <v>46302.0</v>
      </c>
      <c r="B687" s="5" t="s">
        <v>4143</v>
      </c>
      <c r="C687" s="15">
        <v>0.90625</v>
      </c>
      <c r="D687" s="5" t="s">
        <v>2820</v>
      </c>
      <c r="E687" s="16" t="str">
        <f t="array" ref="E687">_xlfn.XLOOKUP(F687, Filmes!$D$2:$D$344, Filmes!$A$2:$A$344, "")</f>
        <v>233</v>
      </c>
      <c r="F687" s="7" t="s">
        <v>2856</v>
      </c>
      <c r="G687" s="17" t="s">
        <v>4128</v>
      </c>
      <c r="H687" s="17" t="s">
        <v>4129</v>
      </c>
      <c r="I687" s="19">
        <v>5.0</v>
      </c>
      <c r="J687" s="10" t="s">
        <v>4163</v>
      </c>
      <c r="K687" s="5"/>
      <c r="L687" s="5" t="s">
        <v>65</v>
      </c>
      <c r="M687" s="5"/>
    </row>
    <row r="688" ht="15.75" customHeight="1">
      <c r="A688" s="14">
        <v>46303.0</v>
      </c>
      <c r="B688" s="5" t="s">
        <v>4124</v>
      </c>
      <c r="C688" s="15">
        <v>0.6875</v>
      </c>
      <c r="D688" s="5" t="s">
        <v>2820</v>
      </c>
      <c r="E688" s="16" t="str">
        <f t="array" ref="E688">_xlfn.XLOOKUP(F688, Filmes!$D$2:$D$344, Filmes!$A$2:$A$344, "")</f>
        <v>233</v>
      </c>
      <c r="F688" s="7" t="s">
        <v>2856</v>
      </c>
      <c r="G688" s="17" t="s">
        <v>4122</v>
      </c>
      <c r="H688" s="17" t="s">
        <v>4123</v>
      </c>
      <c r="I688" s="18"/>
      <c r="J688" s="10" t="s">
        <v>4163</v>
      </c>
      <c r="K688" s="5" t="s">
        <v>65</v>
      </c>
      <c r="L688" s="5"/>
      <c r="M688" s="5" t="s">
        <v>65</v>
      </c>
    </row>
    <row r="689" ht="15.75" customHeight="1">
      <c r="A689" s="14">
        <v>46304.0</v>
      </c>
      <c r="B689" s="5" t="s">
        <v>4135</v>
      </c>
      <c r="C689" s="15">
        <v>0.8854166666666666</v>
      </c>
      <c r="D689" s="5" t="s">
        <v>2820</v>
      </c>
      <c r="E689" s="16" t="str">
        <f t="array" ref="E689">_xlfn.XLOOKUP(F689, Filmes!$D$2:$D$344, Filmes!$A$2:$A$344, "")</f>
        <v>233</v>
      </c>
      <c r="F689" s="7" t="s">
        <v>2856</v>
      </c>
      <c r="G689" s="17" t="s">
        <v>4130</v>
      </c>
      <c r="H689" s="17" t="s">
        <v>4131</v>
      </c>
      <c r="I689" s="19">
        <v>5.0</v>
      </c>
      <c r="J689" s="5" t="s">
        <v>4163</v>
      </c>
      <c r="K689" s="5"/>
      <c r="L689" s="5"/>
      <c r="M689" s="5"/>
    </row>
    <row r="690" ht="15.75" customHeight="1">
      <c r="A690" s="14">
        <v>46305.0</v>
      </c>
      <c r="B690" s="5" t="s">
        <v>4127</v>
      </c>
      <c r="C690" s="15">
        <v>0.8854166666666666</v>
      </c>
      <c r="D690" s="5" t="s">
        <v>2820</v>
      </c>
      <c r="E690" s="16" t="str">
        <f t="array" ref="E690">_xlfn.XLOOKUP(F690, Filmes!$D$2:$D$344, Filmes!$A$2:$A$344, "")</f>
        <v>234</v>
      </c>
      <c r="F690" s="7" t="s">
        <v>2867</v>
      </c>
      <c r="G690" s="17" t="s">
        <v>4152</v>
      </c>
      <c r="H690" s="17" t="s">
        <v>4153</v>
      </c>
      <c r="I690" s="19"/>
      <c r="J690" s="10" t="s">
        <v>4164</v>
      </c>
      <c r="K690" s="5" t="s">
        <v>65</v>
      </c>
      <c r="L690" s="5" t="s">
        <v>65</v>
      </c>
      <c r="M690" s="5"/>
    </row>
    <row r="691" ht="15.75" customHeight="1">
      <c r="A691" s="14">
        <v>46301.0</v>
      </c>
      <c r="B691" s="5" t="s">
        <v>4121</v>
      </c>
      <c r="C691" s="15">
        <v>0.8020833333333334</v>
      </c>
      <c r="D691" s="5" t="s">
        <v>2820</v>
      </c>
      <c r="E691" s="16" t="str">
        <f t="array" ref="E691">_xlfn.XLOOKUP(F691, Filmes!$D$2:$D$344, Filmes!$A$2:$A$344, "")</f>
        <v>235</v>
      </c>
      <c r="F691" s="7" t="s">
        <v>2880</v>
      </c>
      <c r="G691" s="17" t="s">
        <v>4128</v>
      </c>
      <c r="H691" s="17" t="s">
        <v>4129</v>
      </c>
      <c r="I691" s="19">
        <v>4.0</v>
      </c>
      <c r="J691" s="5"/>
      <c r="K691" s="5"/>
      <c r="L691" s="5" t="s">
        <v>65</v>
      </c>
      <c r="M691" s="5"/>
    </row>
    <row r="692" ht="15.75" customHeight="1">
      <c r="A692" s="14">
        <v>46301.0</v>
      </c>
      <c r="B692" s="5" t="s">
        <v>4121</v>
      </c>
      <c r="C692" s="15">
        <v>0.8020833333333334</v>
      </c>
      <c r="D692" s="5" t="s">
        <v>2820</v>
      </c>
      <c r="E692" s="16" t="str">
        <f t="array" ref="E692">_xlfn.XLOOKUP(F692, Filmes!$D$2:$D$344, Filmes!$A$2:$A$344, "")</f>
        <v>235</v>
      </c>
      <c r="F692" s="7" t="s">
        <v>2880</v>
      </c>
      <c r="G692" s="17" t="s">
        <v>4128</v>
      </c>
      <c r="H692" s="17" t="s">
        <v>4129</v>
      </c>
      <c r="I692" s="19">
        <v>5.0</v>
      </c>
      <c r="J692" s="5"/>
      <c r="K692" s="5"/>
      <c r="L692" s="5" t="s">
        <v>65</v>
      </c>
      <c r="M692" s="5"/>
    </row>
    <row r="693" ht="15.75" customHeight="1">
      <c r="A693" s="14">
        <v>46302.0</v>
      </c>
      <c r="B693" s="5" t="s">
        <v>4143</v>
      </c>
      <c r="C693" s="15">
        <v>0.5625</v>
      </c>
      <c r="D693" s="5" t="s">
        <v>2820</v>
      </c>
      <c r="E693" s="16" t="str">
        <f t="array" ref="E693">_xlfn.XLOOKUP(F693, Filmes!$D$2:$D$344, Filmes!$A$2:$A$344, "")</f>
        <v>235</v>
      </c>
      <c r="F693" s="7" t="s">
        <v>2880</v>
      </c>
      <c r="G693" s="17" t="s">
        <v>4122</v>
      </c>
      <c r="H693" s="17" t="s">
        <v>4123</v>
      </c>
      <c r="I693" s="19"/>
      <c r="J693" s="10"/>
      <c r="K693" s="5" t="s">
        <v>65</v>
      </c>
      <c r="L693" s="5"/>
      <c r="M693" s="5" t="s">
        <v>65</v>
      </c>
    </row>
    <row r="694" ht="15.75" customHeight="1">
      <c r="A694" s="14">
        <v>46303.0</v>
      </c>
      <c r="B694" s="5" t="s">
        <v>4124</v>
      </c>
      <c r="C694" s="15">
        <v>0.78125</v>
      </c>
      <c r="D694" s="5" t="s">
        <v>2820</v>
      </c>
      <c r="E694" s="16" t="str">
        <f t="array" ref="E694">_xlfn.XLOOKUP(F694, Filmes!$D$2:$D$344, Filmes!$A$2:$A$344, "")</f>
        <v>235</v>
      </c>
      <c r="F694" s="7" t="s">
        <v>2880</v>
      </c>
      <c r="G694" s="17" t="s">
        <v>4130</v>
      </c>
      <c r="H694" s="17" t="s">
        <v>4131</v>
      </c>
      <c r="I694" s="19">
        <v>5.0</v>
      </c>
      <c r="J694" s="5"/>
      <c r="K694" s="5"/>
      <c r="L694" s="5"/>
      <c r="M694" s="5"/>
    </row>
    <row r="695" ht="15.75" customHeight="1">
      <c r="A695" s="14">
        <v>46301.0</v>
      </c>
      <c r="B695" s="5" t="s">
        <v>4121</v>
      </c>
      <c r="C695" s="15">
        <v>0.90625</v>
      </c>
      <c r="D695" s="5" t="s">
        <v>2820</v>
      </c>
      <c r="E695" s="16" t="str">
        <f t="array" ref="E695">_xlfn.XLOOKUP(F695, Filmes!$D$2:$D$344, Filmes!$A$2:$A$344, "")</f>
        <v>236</v>
      </c>
      <c r="F695" s="7" t="s">
        <v>2892</v>
      </c>
      <c r="G695" s="17" t="s">
        <v>4128</v>
      </c>
      <c r="H695" s="17" t="s">
        <v>4129</v>
      </c>
      <c r="I695" s="19">
        <v>4.0</v>
      </c>
      <c r="J695" s="5"/>
      <c r="K695" s="5"/>
      <c r="L695" s="5" t="s">
        <v>65</v>
      </c>
      <c r="M695" s="5"/>
    </row>
    <row r="696" ht="15.75" customHeight="1">
      <c r="A696" s="14">
        <v>46301.0</v>
      </c>
      <c r="B696" s="5" t="s">
        <v>4121</v>
      </c>
      <c r="C696" s="15">
        <v>0.90625</v>
      </c>
      <c r="D696" s="5" t="s">
        <v>2820</v>
      </c>
      <c r="E696" s="16" t="str">
        <f t="array" ref="E696">_xlfn.XLOOKUP(F696, Filmes!$D$2:$D$344, Filmes!$A$2:$A$344, "")</f>
        <v>236</v>
      </c>
      <c r="F696" s="7" t="s">
        <v>2892</v>
      </c>
      <c r="G696" s="17" t="s">
        <v>4128</v>
      </c>
      <c r="H696" s="17" t="s">
        <v>4129</v>
      </c>
      <c r="I696" s="19">
        <v>5.0</v>
      </c>
      <c r="J696" s="5"/>
      <c r="K696" s="5"/>
      <c r="L696" s="5" t="s">
        <v>65</v>
      </c>
      <c r="M696" s="5"/>
    </row>
    <row r="697" ht="15.75" customHeight="1">
      <c r="A697" s="14">
        <v>46302.0</v>
      </c>
      <c r="B697" s="5" t="s">
        <v>4143</v>
      </c>
      <c r="C697" s="15">
        <v>0.6875</v>
      </c>
      <c r="D697" s="5" t="s">
        <v>2820</v>
      </c>
      <c r="E697" s="16" t="str">
        <f t="array" ref="E697">_xlfn.XLOOKUP(F697, Filmes!$D$2:$D$344, Filmes!$A$2:$A$344, "")</f>
        <v>236</v>
      </c>
      <c r="F697" s="7" t="s">
        <v>2892</v>
      </c>
      <c r="G697" s="17" t="s">
        <v>4122</v>
      </c>
      <c r="H697" s="17" t="s">
        <v>4123</v>
      </c>
      <c r="I697" s="19"/>
      <c r="J697" s="10"/>
      <c r="K697" s="5" t="s">
        <v>65</v>
      </c>
      <c r="L697" s="5"/>
      <c r="M697" s="5" t="s">
        <v>65</v>
      </c>
    </row>
    <row r="698" ht="15.75" customHeight="1">
      <c r="A698" s="14">
        <v>46303.0</v>
      </c>
      <c r="B698" s="5" t="s">
        <v>4124</v>
      </c>
      <c r="C698" s="15">
        <v>0.8854166666666666</v>
      </c>
      <c r="D698" s="5" t="s">
        <v>2820</v>
      </c>
      <c r="E698" s="16" t="str">
        <f t="array" ref="E698">_xlfn.XLOOKUP(F698, Filmes!$D$2:$D$344, Filmes!$A$2:$A$344, "")</f>
        <v>236</v>
      </c>
      <c r="F698" s="7" t="s">
        <v>2892</v>
      </c>
      <c r="G698" s="17" t="s">
        <v>4130</v>
      </c>
      <c r="H698" s="17" t="s">
        <v>4131</v>
      </c>
      <c r="I698" s="19">
        <v>5.0</v>
      </c>
      <c r="J698" s="5"/>
      <c r="K698" s="5"/>
      <c r="L698" s="5"/>
      <c r="M698" s="5"/>
    </row>
    <row r="699" ht="15.75" customHeight="1">
      <c r="A699" s="14">
        <v>46303.0</v>
      </c>
      <c r="B699" s="5" t="s">
        <v>4124</v>
      </c>
      <c r="C699" s="15">
        <v>0.90625</v>
      </c>
      <c r="D699" s="5" t="s">
        <v>2820</v>
      </c>
      <c r="E699" s="16" t="str">
        <f t="array" ref="E699">_xlfn.XLOOKUP(F699, Filmes!$D$2:$D$344, Filmes!$A$2:$A$344, "")</f>
        <v>237</v>
      </c>
      <c r="F699" s="7" t="s">
        <v>2906</v>
      </c>
      <c r="G699" s="17" t="s">
        <v>4128</v>
      </c>
      <c r="H699" s="17" t="s">
        <v>4129</v>
      </c>
      <c r="I699" s="19">
        <v>4.0</v>
      </c>
      <c r="J699" s="5"/>
      <c r="K699" s="5"/>
      <c r="L699" s="5" t="s">
        <v>65</v>
      </c>
      <c r="M699" s="5"/>
    </row>
    <row r="700" ht="15.75" customHeight="1">
      <c r="A700" s="14">
        <v>46303.0</v>
      </c>
      <c r="B700" s="5" t="s">
        <v>4124</v>
      </c>
      <c r="C700" s="15">
        <v>0.90625</v>
      </c>
      <c r="D700" s="5" t="s">
        <v>2820</v>
      </c>
      <c r="E700" s="16" t="str">
        <f t="array" ref="E700">_xlfn.XLOOKUP(F700, Filmes!$D$2:$D$344, Filmes!$A$2:$A$344, "")</f>
        <v>237</v>
      </c>
      <c r="F700" s="7" t="s">
        <v>2906</v>
      </c>
      <c r="G700" s="17" t="s">
        <v>4128</v>
      </c>
      <c r="H700" s="17" t="s">
        <v>4129</v>
      </c>
      <c r="I700" s="19">
        <v>5.0</v>
      </c>
      <c r="J700" s="5"/>
      <c r="K700" s="5"/>
      <c r="L700" s="5" t="s">
        <v>65</v>
      </c>
      <c r="M700" s="5"/>
    </row>
    <row r="701" ht="15.75" customHeight="1">
      <c r="A701" s="14">
        <v>46304.0</v>
      </c>
      <c r="B701" s="5" t="s">
        <v>4135</v>
      </c>
      <c r="C701" s="15">
        <v>0.6770833333333334</v>
      </c>
      <c r="D701" s="5" t="s">
        <v>2820</v>
      </c>
      <c r="E701" s="16" t="str">
        <f t="array" ref="E701">_xlfn.XLOOKUP(F701, Filmes!$D$2:$D$344, Filmes!$A$2:$A$344, "")</f>
        <v>237</v>
      </c>
      <c r="F701" s="7" t="s">
        <v>2906</v>
      </c>
      <c r="G701" s="17" t="s">
        <v>4122</v>
      </c>
      <c r="H701" s="17" t="s">
        <v>4123</v>
      </c>
      <c r="I701" s="18"/>
      <c r="J701" s="10"/>
      <c r="K701" s="5" t="s">
        <v>65</v>
      </c>
      <c r="L701" s="5"/>
      <c r="M701" s="5" t="s">
        <v>65</v>
      </c>
    </row>
    <row r="702" ht="15.75" customHeight="1">
      <c r="A702" s="14">
        <v>46305.0</v>
      </c>
      <c r="B702" s="5" t="s">
        <v>4127</v>
      </c>
      <c r="C702" s="15">
        <v>0.8854166666666666</v>
      </c>
      <c r="D702" s="5" t="s">
        <v>2820</v>
      </c>
      <c r="E702" s="16" t="str">
        <f t="array" ref="E702">_xlfn.XLOOKUP(F702, Filmes!$D$2:$D$344, Filmes!$A$2:$A$344, "")</f>
        <v>237</v>
      </c>
      <c r="F702" s="7" t="s">
        <v>2906</v>
      </c>
      <c r="G702" s="17" t="s">
        <v>4130</v>
      </c>
      <c r="H702" s="17" t="s">
        <v>4131</v>
      </c>
      <c r="I702" s="19">
        <v>5.0</v>
      </c>
      <c r="J702" s="5"/>
      <c r="K702" s="5"/>
      <c r="L702" s="5"/>
      <c r="M702" s="5"/>
    </row>
    <row r="703" ht="15.75" customHeight="1">
      <c r="A703" s="14">
        <v>46298.0</v>
      </c>
      <c r="B703" s="5" t="s">
        <v>4127</v>
      </c>
      <c r="C703" s="15">
        <v>0.8958333333333334</v>
      </c>
      <c r="D703" s="5" t="s">
        <v>2820</v>
      </c>
      <c r="E703" s="16" t="str">
        <f t="array" ref="E703">_xlfn.XLOOKUP(F703, Filmes!$D$2:$D$344, Filmes!$A$2:$A$344, "")</f>
        <v>238</v>
      </c>
      <c r="F703" s="7" t="s">
        <v>2919</v>
      </c>
      <c r="G703" s="17" t="s">
        <v>4128</v>
      </c>
      <c r="H703" s="17" t="s">
        <v>4129</v>
      </c>
      <c r="I703" s="19">
        <v>1.0</v>
      </c>
      <c r="J703" s="5"/>
      <c r="K703" s="5"/>
      <c r="L703" s="5" t="s">
        <v>65</v>
      </c>
      <c r="M703" s="5"/>
    </row>
    <row r="704" ht="15.75" customHeight="1">
      <c r="A704" s="14">
        <v>46298.0</v>
      </c>
      <c r="B704" s="5" t="s">
        <v>4127</v>
      </c>
      <c r="C704" s="15">
        <v>0.8958333333333334</v>
      </c>
      <c r="D704" s="5" t="s">
        <v>2820</v>
      </c>
      <c r="E704" s="16" t="str">
        <f t="array" ref="E704">_xlfn.XLOOKUP(F704, Filmes!$D$2:$D$344, Filmes!$A$2:$A$344, "")</f>
        <v>238</v>
      </c>
      <c r="F704" s="7" t="s">
        <v>2919</v>
      </c>
      <c r="G704" s="17" t="s">
        <v>4128</v>
      </c>
      <c r="H704" s="17" t="s">
        <v>4129</v>
      </c>
      <c r="I704" s="19">
        <v>2.0</v>
      </c>
      <c r="J704" s="5"/>
      <c r="K704" s="5"/>
      <c r="L704" s="5" t="s">
        <v>65</v>
      </c>
      <c r="M704" s="5"/>
    </row>
    <row r="705" ht="15.75" customHeight="1">
      <c r="A705" s="14">
        <v>46303.0</v>
      </c>
      <c r="B705" s="5" t="s">
        <v>4124</v>
      </c>
      <c r="C705" s="15">
        <v>0.8854166666666666</v>
      </c>
      <c r="D705" s="5" t="s">
        <v>2820</v>
      </c>
      <c r="E705" s="16" t="str">
        <f t="array" ref="E705">_xlfn.XLOOKUP(F705, Filmes!$D$2:$D$344, Filmes!$A$2:$A$344, "")</f>
        <v>238</v>
      </c>
      <c r="F705" s="7" t="s">
        <v>2919</v>
      </c>
      <c r="G705" s="17" t="s">
        <v>4137</v>
      </c>
      <c r="H705" s="17" t="s">
        <v>4138</v>
      </c>
      <c r="I705" s="19">
        <v>1.0</v>
      </c>
      <c r="J705" s="5"/>
      <c r="K705" s="5"/>
      <c r="L705" s="5" t="s">
        <v>65</v>
      </c>
      <c r="M705" s="5"/>
    </row>
    <row r="706" ht="15.75" customHeight="1">
      <c r="A706" s="14">
        <v>46298.0</v>
      </c>
      <c r="B706" s="5" t="s">
        <v>4127</v>
      </c>
      <c r="C706" s="15">
        <v>0.7708333333333334</v>
      </c>
      <c r="D706" s="5" t="s">
        <v>2820</v>
      </c>
      <c r="E706" s="16" t="str">
        <f t="array" ref="E706">_xlfn.XLOOKUP(F706, Filmes!$D$2:$D$344, Filmes!$A$2:$A$344, "")</f>
        <v>239</v>
      </c>
      <c r="F706" s="7" t="s">
        <v>2931</v>
      </c>
      <c r="G706" s="17" t="s">
        <v>4152</v>
      </c>
      <c r="H706" s="17" t="s">
        <v>4153</v>
      </c>
      <c r="I706" s="19"/>
      <c r="J706" s="10"/>
      <c r="K706" s="5" t="s">
        <v>65</v>
      </c>
      <c r="L706" s="5" t="s">
        <v>65</v>
      </c>
      <c r="M706" s="5"/>
    </row>
    <row r="707" ht="15.75" customHeight="1">
      <c r="A707" s="14">
        <v>46299.0</v>
      </c>
      <c r="B707" s="5" t="s">
        <v>4136</v>
      </c>
      <c r="C707" s="15">
        <v>0.6666666666666666</v>
      </c>
      <c r="D707" s="5" t="s">
        <v>2820</v>
      </c>
      <c r="E707" s="16" t="str">
        <f t="array" ref="E707">_xlfn.XLOOKUP(F707, Filmes!$D$2:$D$344, Filmes!$A$2:$A$344, "")</f>
        <v>239</v>
      </c>
      <c r="F707" s="7" t="s">
        <v>2931</v>
      </c>
      <c r="G707" s="17" t="s">
        <v>4141</v>
      </c>
      <c r="H707" s="17" t="s">
        <v>4142</v>
      </c>
      <c r="I707" s="19"/>
      <c r="J707" s="5"/>
      <c r="K707" s="5"/>
      <c r="L707" s="5"/>
      <c r="M707" s="5"/>
    </row>
    <row r="708" ht="15.75" customHeight="1">
      <c r="A708" s="14">
        <v>46300.0</v>
      </c>
      <c r="B708" s="5" t="s">
        <v>4132</v>
      </c>
      <c r="C708" s="15">
        <v>0.5833333333333334</v>
      </c>
      <c r="D708" s="5" t="s">
        <v>2820</v>
      </c>
      <c r="E708" s="16" t="str">
        <f t="array" ref="E708">_xlfn.XLOOKUP(F708, Filmes!$D$2:$D$344, Filmes!$A$2:$A$344, "")</f>
        <v>239</v>
      </c>
      <c r="F708" s="7" t="s">
        <v>2931</v>
      </c>
      <c r="G708" s="17" t="s">
        <v>4137</v>
      </c>
      <c r="H708" s="17" t="s">
        <v>4138</v>
      </c>
      <c r="I708" s="19">
        <v>1.0</v>
      </c>
      <c r="J708" s="5"/>
      <c r="K708" s="5"/>
      <c r="L708" s="5"/>
      <c r="M708" s="5"/>
    </row>
    <row r="709" ht="15.75" customHeight="1">
      <c r="A709" s="14">
        <v>46303.0</v>
      </c>
      <c r="B709" s="5" t="s">
        <v>4124</v>
      </c>
      <c r="C709" s="15">
        <v>0.7604166666666666</v>
      </c>
      <c r="D709" s="5" t="s">
        <v>2820</v>
      </c>
      <c r="E709" s="16" t="str">
        <f t="array" ref="E709">_xlfn.XLOOKUP(F709, Filmes!$D$2:$D$344, Filmes!$A$2:$A$344, "")</f>
        <v>240</v>
      </c>
      <c r="F709" s="7" t="s">
        <v>2941</v>
      </c>
      <c r="G709" s="17" t="s">
        <v>4128</v>
      </c>
      <c r="H709" s="17" t="s">
        <v>4129</v>
      </c>
      <c r="I709" s="19">
        <v>3.0</v>
      </c>
      <c r="J709" s="5"/>
      <c r="K709" s="5"/>
      <c r="L709" s="5" t="s">
        <v>65</v>
      </c>
      <c r="M709" s="5"/>
    </row>
    <row r="710" ht="15.75" customHeight="1">
      <c r="A710" s="14">
        <v>46304.0</v>
      </c>
      <c r="B710" s="5" t="s">
        <v>4135</v>
      </c>
      <c r="C710" s="15">
        <v>0.6666666666666666</v>
      </c>
      <c r="D710" s="5" t="s">
        <v>2820</v>
      </c>
      <c r="E710" s="16" t="str">
        <f t="array" ref="E710">_xlfn.XLOOKUP(F710, Filmes!$D$2:$D$344, Filmes!$A$2:$A$344, "")</f>
        <v>240</v>
      </c>
      <c r="F710" s="7" t="s">
        <v>2941</v>
      </c>
      <c r="G710" s="17" t="s">
        <v>4141</v>
      </c>
      <c r="H710" s="17" t="s">
        <v>4142</v>
      </c>
      <c r="I710" s="18"/>
      <c r="J710" s="5"/>
      <c r="K710" s="5"/>
      <c r="L710" s="5"/>
      <c r="M710" s="5"/>
    </row>
    <row r="711" ht="15.75" customHeight="1">
      <c r="A711" s="14">
        <v>46298.0</v>
      </c>
      <c r="B711" s="5" t="s">
        <v>4127</v>
      </c>
      <c r="C711" s="15">
        <v>0.7083333333333334</v>
      </c>
      <c r="D711" s="5" t="s">
        <v>2820</v>
      </c>
      <c r="E711" s="16" t="str">
        <f t="array" ref="E711">_xlfn.XLOOKUP(F711, Filmes!$D$2:$D$344, Filmes!$A$2:$A$344, "")</f>
        <v>241</v>
      </c>
      <c r="F711" s="7" t="s">
        <v>2951</v>
      </c>
      <c r="G711" s="17" t="s">
        <v>4128</v>
      </c>
      <c r="H711" s="17" t="s">
        <v>4129</v>
      </c>
      <c r="I711" s="19">
        <v>4.0</v>
      </c>
      <c r="J711" s="5"/>
      <c r="K711" s="5"/>
      <c r="L711" s="5" t="s">
        <v>65</v>
      </c>
      <c r="M711" s="5"/>
    </row>
    <row r="712" ht="15.75" customHeight="1">
      <c r="A712" s="14">
        <v>46298.0</v>
      </c>
      <c r="B712" s="5" t="s">
        <v>4127</v>
      </c>
      <c r="C712" s="15">
        <v>0.7083333333333334</v>
      </c>
      <c r="D712" s="5" t="s">
        <v>2820</v>
      </c>
      <c r="E712" s="16" t="str">
        <f t="array" ref="E712">_xlfn.XLOOKUP(F712, Filmes!$D$2:$D$344, Filmes!$A$2:$A$344, "")</f>
        <v>241</v>
      </c>
      <c r="F712" s="7" t="s">
        <v>2951</v>
      </c>
      <c r="G712" s="17" t="s">
        <v>4128</v>
      </c>
      <c r="H712" s="17" t="s">
        <v>4129</v>
      </c>
      <c r="I712" s="19">
        <v>5.0</v>
      </c>
      <c r="J712" s="5"/>
      <c r="K712" s="5"/>
      <c r="L712" s="5" t="s">
        <v>65</v>
      </c>
      <c r="M712" s="5"/>
    </row>
    <row r="713" ht="15.75" customHeight="1">
      <c r="A713" s="14">
        <v>46300.0</v>
      </c>
      <c r="B713" s="5" t="s">
        <v>4132</v>
      </c>
      <c r="C713" s="15">
        <v>0.6666666666666666</v>
      </c>
      <c r="D713" s="5" t="s">
        <v>2820</v>
      </c>
      <c r="E713" s="16" t="str">
        <f t="array" ref="E713">_xlfn.XLOOKUP(F713, Filmes!$D$2:$D$344, Filmes!$A$2:$A$344, "")</f>
        <v>241</v>
      </c>
      <c r="F713" s="7" t="s">
        <v>2951</v>
      </c>
      <c r="G713" s="17" t="s">
        <v>4122</v>
      </c>
      <c r="H713" s="17" t="s">
        <v>4123</v>
      </c>
      <c r="I713" s="18"/>
      <c r="J713" s="10"/>
      <c r="K713" s="5" t="s">
        <v>65</v>
      </c>
      <c r="L713" s="5"/>
      <c r="M713" s="5" t="s">
        <v>65</v>
      </c>
    </row>
    <row r="714" ht="15.75" customHeight="1">
      <c r="A714" s="14">
        <v>46301.0</v>
      </c>
      <c r="B714" s="5" t="s">
        <v>4121</v>
      </c>
      <c r="C714" s="15">
        <v>0.8854166666666666</v>
      </c>
      <c r="D714" s="5" t="s">
        <v>2820</v>
      </c>
      <c r="E714" s="16" t="str">
        <f t="array" ref="E714">_xlfn.XLOOKUP(F714, Filmes!$D$2:$D$344, Filmes!$A$2:$A$344, "")</f>
        <v>241</v>
      </c>
      <c r="F714" s="7" t="s">
        <v>2951</v>
      </c>
      <c r="G714" s="17" t="s">
        <v>4130</v>
      </c>
      <c r="H714" s="17" t="s">
        <v>4131</v>
      </c>
      <c r="I714" s="19">
        <v>5.0</v>
      </c>
      <c r="J714" s="5"/>
      <c r="K714" s="5"/>
      <c r="L714" s="5"/>
      <c r="M714" s="5"/>
    </row>
    <row r="715" ht="15.75" customHeight="1">
      <c r="A715" s="14">
        <v>46304.0</v>
      </c>
      <c r="B715" s="5" t="s">
        <v>4135</v>
      </c>
      <c r="C715" s="15">
        <v>0.78125</v>
      </c>
      <c r="D715" s="5" t="s">
        <v>2820</v>
      </c>
      <c r="E715" s="16" t="str">
        <f t="array" ref="E715">_xlfn.XLOOKUP(F715, Filmes!$D$2:$D$344, Filmes!$A$2:$A$344, "")</f>
        <v>242</v>
      </c>
      <c r="F715" s="7" t="s">
        <v>2961</v>
      </c>
      <c r="G715" s="17" t="s">
        <v>4152</v>
      </c>
      <c r="H715" s="17" t="s">
        <v>4153</v>
      </c>
      <c r="I715" s="18"/>
      <c r="J715" s="10"/>
      <c r="K715" s="5" t="s">
        <v>65</v>
      </c>
      <c r="L715" s="5" t="s">
        <v>65</v>
      </c>
      <c r="M715" s="5"/>
    </row>
    <row r="716" ht="15.75" customHeight="1">
      <c r="A716" s="14">
        <v>46305.0</v>
      </c>
      <c r="B716" s="5" t="s">
        <v>4127</v>
      </c>
      <c r="C716" s="15">
        <v>0.6666666666666666</v>
      </c>
      <c r="D716" s="5" t="s">
        <v>2820</v>
      </c>
      <c r="E716" s="16" t="str">
        <f t="array" ref="E716">_xlfn.XLOOKUP(F716, Filmes!$D$2:$D$344, Filmes!$A$2:$A$344, "")</f>
        <v>242</v>
      </c>
      <c r="F716" s="7" t="s">
        <v>2961</v>
      </c>
      <c r="G716" s="17" t="s">
        <v>4152</v>
      </c>
      <c r="H716" s="17" t="s">
        <v>4153</v>
      </c>
      <c r="I716" s="19"/>
      <c r="J716" s="10"/>
      <c r="K716" s="5" t="s">
        <v>65</v>
      </c>
      <c r="L716" s="5" t="s">
        <v>65</v>
      </c>
      <c r="M716" s="5"/>
    </row>
    <row r="717" ht="15.75" customHeight="1">
      <c r="A717" s="14">
        <v>46302.0</v>
      </c>
      <c r="B717" s="5" t="s">
        <v>4143</v>
      </c>
      <c r="C717" s="15">
        <v>0.7604166666666666</v>
      </c>
      <c r="D717" s="5" t="s">
        <v>2820</v>
      </c>
      <c r="E717" s="16" t="str">
        <f t="array" ref="E717">_xlfn.XLOOKUP(F717, Filmes!$D$2:$D$344, Filmes!$A$2:$A$344, "")</f>
        <v>243</v>
      </c>
      <c r="F717" s="7" t="s">
        <v>2974</v>
      </c>
      <c r="G717" s="17" t="s">
        <v>4128</v>
      </c>
      <c r="H717" s="17" t="s">
        <v>4129</v>
      </c>
      <c r="I717" s="19">
        <v>3.0</v>
      </c>
      <c r="J717" s="5"/>
      <c r="K717" s="5"/>
      <c r="L717" s="5" t="s">
        <v>65</v>
      </c>
      <c r="M717" s="5"/>
    </row>
    <row r="718" ht="15.75" customHeight="1">
      <c r="A718" s="14">
        <v>46303.0</v>
      </c>
      <c r="B718" s="5" t="s">
        <v>4124</v>
      </c>
      <c r="C718" s="15">
        <v>0.6666666666666666</v>
      </c>
      <c r="D718" s="5" t="s">
        <v>2820</v>
      </c>
      <c r="E718" s="16" t="str">
        <f t="array" ref="E718">_xlfn.XLOOKUP(F718, Filmes!$D$2:$D$344, Filmes!$A$2:$A$344, "")</f>
        <v>243</v>
      </c>
      <c r="F718" s="7" t="s">
        <v>2974</v>
      </c>
      <c r="G718" s="17" t="s">
        <v>4141</v>
      </c>
      <c r="H718" s="17" t="s">
        <v>4142</v>
      </c>
      <c r="I718" s="19"/>
      <c r="J718" s="5"/>
      <c r="K718" s="5"/>
      <c r="L718" s="5"/>
      <c r="M718" s="5"/>
    </row>
    <row r="719" ht="15.75" customHeight="1">
      <c r="A719" s="14">
        <v>46304.0</v>
      </c>
      <c r="B719" s="5" t="s">
        <v>4135</v>
      </c>
      <c r="C719" s="15">
        <v>0.6770833333333334</v>
      </c>
      <c r="D719" s="5" t="s">
        <v>2820</v>
      </c>
      <c r="E719" s="16" t="str">
        <f t="array" ref="E719">_xlfn.XLOOKUP(F719, Filmes!$D$2:$D$344, Filmes!$A$2:$A$344, "")</f>
        <v>243</v>
      </c>
      <c r="F719" s="7" t="s">
        <v>2974</v>
      </c>
      <c r="G719" s="17" t="s">
        <v>4139</v>
      </c>
      <c r="H719" s="17" t="s">
        <v>4140</v>
      </c>
      <c r="I719" s="19">
        <v>3.0</v>
      </c>
      <c r="J719" s="5"/>
      <c r="K719" s="5"/>
      <c r="L719" s="5"/>
      <c r="M719" s="5"/>
    </row>
    <row r="720" ht="15.75" customHeight="1">
      <c r="A720" s="14">
        <v>46305.0</v>
      </c>
      <c r="B720" s="5" t="s">
        <v>4127</v>
      </c>
      <c r="C720" s="15">
        <v>0.8854166666666666</v>
      </c>
      <c r="D720" s="5" t="s">
        <v>2820</v>
      </c>
      <c r="E720" s="16" t="str">
        <f t="array" ref="E720">_xlfn.XLOOKUP(F720, Filmes!$D$2:$D$344, Filmes!$A$2:$A$344, "")</f>
        <v>244</v>
      </c>
      <c r="F720" s="7" t="s">
        <v>2985</v>
      </c>
      <c r="G720" s="17" t="s">
        <v>4152</v>
      </c>
      <c r="H720" s="17" t="s">
        <v>4153</v>
      </c>
      <c r="I720" s="19"/>
      <c r="J720" s="10" t="s">
        <v>4164</v>
      </c>
      <c r="K720" s="5" t="s">
        <v>65</v>
      </c>
      <c r="L720" s="5" t="s">
        <v>65</v>
      </c>
      <c r="M720" s="5"/>
    </row>
    <row r="721" ht="15.75" customHeight="1">
      <c r="A721" s="14">
        <v>46302.0</v>
      </c>
      <c r="B721" s="5" t="s">
        <v>4143</v>
      </c>
      <c r="C721" s="15">
        <v>0.8645833333333334</v>
      </c>
      <c r="D721" s="5" t="s">
        <v>2820</v>
      </c>
      <c r="E721" s="16" t="str">
        <f t="array" ref="E721">_xlfn.XLOOKUP(F721, Filmes!$D$2:$D$344, Filmes!$A$2:$A$344, "")</f>
        <v>245</v>
      </c>
      <c r="F721" s="7" t="s">
        <v>2997</v>
      </c>
      <c r="G721" s="17" t="s">
        <v>4128</v>
      </c>
      <c r="H721" s="17" t="s">
        <v>4129</v>
      </c>
      <c r="I721" s="19">
        <v>3.0</v>
      </c>
      <c r="J721" s="5"/>
      <c r="K721" s="5"/>
      <c r="L721" s="5" t="s">
        <v>65</v>
      </c>
      <c r="M721" s="5"/>
    </row>
    <row r="722" ht="15.75" customHeight="1">
      <c r="A722" s="14">
        <v>46302.0</v>
      </c>
      <c r="B722" s="5" t="s">
        <v>4143</v>
      </c>
      <c r="C722" s="15">
        <v>0.90625</v>
      </c>
      <c r="D722" s="5" t="s">
        <v>2820</v>
      </c>
      <c r="E722" s="16" t="str">
        <f t="array" ref="E722">_xlfn.XLOOKUP(F722, Filmes!$D$2:$D$344, Filmes!$A$2:$A$344, "")</f>
        <v>246</v>
      </c>
      <c r="F722" s="7" t="s">
        <v>3009</v>
      </c>
      <c r="G722" s="17" t="s">
        <v>4122</v>
      </c>
      <c r="H722" s="17" t="s">
        <v>4123</v>
      </c>
      <c r="I722" s="19"/>
      <c r="J722" s="5"/>
      <c r="K722" s="5"/>
      <c r="L722" s="5" t="s">
        <v>65</v>
      </c>
      <c r="M722" s="5"/>
    </row>
    <row r="723" ht="15.75" customHeight="1">
      <c r="A723" s="14">
        <v>46303.0</v>
      </c>
      <c r="B723" s="5" t="s">
        <v>4124</v>
      </c>
      <c r="C723" s="15">
        <v>0.7916666666666666</v>
      </c>
      <c r="D723" s="5" t="s">
        <v>2820</v>
      </c>
      <c r="E723" s="16" t="str">
        <f t="array" ref="E723">_xlfn.XLOOKUP(F723, Filmes!$D$2:$D$344, Filmes!$A$2:$A$344, "")</f>
        <v>246</v>
      </c>
      <c r="F723" s="7" t="s">
        <v>3009</v>
      </c>
      <c r="G723" s="17" t="s">
        <v>4125</v>
      </c>
      <c r="H723" s="17" t="s">
        <v>4126</v>
      </c>
      <c r="I723" s="19">
        <v>2.0</v>
      </c>
      <c r="J723" s="5"/>
      <c r="K723" s="5"/>
      <c r="L723" s="5"/>
      <c r="M723" s="5"/>
    </row>
    <row r="724" ht="15.75" customHeight="1">
      <c r="A724" s="14">
        <v>46303.0</v>
      </c>
      <c r="B724" s="5" t="s">
        <v>4124</v>
      </c>
      <c r="C724" s="15">
        <v>0.90625</v>
      </c>
      <c r="D724" s="5" t="s">
        <v>2820</v>
      </c>
      <c r="E724" s="16" t="str">
        <f t="array" ref="E724">_xlfn.XLOOKUP(F724, Filmes!$D$2:$D$344, Filmes!$A$2:$A$344, "")</f>
        <v>247</v>
      </c>
      <c r="F724" s="7" t="s">
        <v>3022</v>
      </c>
      <c r="G724" s="17" t="s">
        <v>4130</v>
      </c>
      <c r="H724" s="17" t="s">
        <v>4131</v>
      </c>
      <c r="I724" s="19">
        <v>6.0</v>
      </c>
      <c r="J724" s="10" t="s">
        <v>4165</v>
      </c>
      <c r="K724" s="5"/>
      <c r="L724" s="5" t="s">
        <v>65</v>
      </c>
      <c r="M724" s="5"/>
    </row>
    <row r="725" ht="15.75" customHeight="1">
      <c r="A725" s="14">
        <v>46305.0</v>
      </c>
      <c r="B725" s="5" t="s">
        <v>4127</v>
      </c>
      <c r="C725" s="15">
        <v>0.5729166666666666</v>
      </c>
      <c r="D725" s="5" t="s">
        <v>2820</v>
      </c>
      <c r="E725" s="16" t="str">
        <f t="array" ref="E725">_xlfn.XLOOKUP(F725, Filmes!$D$2:$D$344, Filmes!$A$2:$A$344, "")</f>
        <v>247</v>
      </c>
      <c r="F725" s="7" t="s">
        <v>3022</v>
      </c>
      <c r="G725" s="17" t="s">
        <v>4128</v>
      </c>
      <c r="H725" s="17" t="s">
        <v>4129</v>
      </c>
      <c r="I725" s="19">
        <v>3.0</v>
      </c>
      <c r="J725" s="5" t="s">
        <v>4165</v>
      </c>
      <c r="K725" s="5"/>
      <c r="L725" s="5"/>
      <c r="M725" s="5"/>
    </row>
    <row r="726" ht="15.75" customHeight="1">
      <c r="A726" s="14">
        <v>46309.0</v>
      </c>
      <c r="B726" s="5" t="s">
        <v>4143</v>
      </c>
      <c r="C726" s="15">
        <v>0.7916666666666666</v>
      </c>
      <c r="D726" s="5" t="s">
        <v>2820</v>
      </c>
      <c r="E726" s="16" t="str">
        <f t="array" ref="E726">_xlfn.XLOOKUP(F726, Filmes!$D$2:$D$344, Filmes!$A$2:$A$344, "")</f>
        <v>247</v>
      </c>
      <c r="F726" s="7" t="s">
        <v>3022</v>
      </c>
      <c r="G726" s="17" t="s">
        <v>4139</v>
      </c>
      <c r="H726" s="17" t="s">
        <v>4140</v>
      </c>
      <c r="I726" s="19">
        <v>5.0</v>
      </c>
      <c r="J726" s="5" t="s">
        <v>4165</v>
      </c>
      <c r="K726" s="5"/>
      <c r="L726" s="5"/>
      <c r="M726" s="5"/>
    </row>
    <row r="727" ht="15.75" customHeight="1">
      <c r="A727" s="14">
        <v>46302.0</v>
      </c>
      <c r="B727" s="5" t="s">
        <v>4143</v>
      </c>
      <c r="C727" s="15">
        <v>0.8958333333333334</v>
      </c>
      <c r="D727" s="5" t="s">
        <v>2820</v>
      </c>
      <c r="E727" s="16" t="str">
        <f t="array" ref="E727">_xlfn.XLOOKUP(F727, Filmes!$D$2:$D$344, Filmes!$A$2:$A$344, "")</f>
        <v>248</v>
      </c>
      <c r="F727" s="7" t="s">
        <v>3036</v>
      </c>
      <c r="G727" s="17" t="s">
        <v>4128</v>
      </c>
      <c r="H727" s="17" t="s">
        <v>4129</v>
      </c>
      <c r="I727" s="19">
        <v>1.0</v>
      </c>
      <c r="J727" s="5"/>
      <c r="K727" s="5"/>
      <c r="L727" s="5" t="s">
        <v>65</v>
      </c>
      <c r="M727" s="5"/>
    </row>
    <row r="728" ht="15.75" customHeight="1">
      <c r="A728" s="14">
        <v>46302.0</v>
      </c>
      <c r="B728" s="5" t="s">
        <v>4143</v>
      </c>
      <c r="C728" s="15">
        <v>0.8958333333333334</v>
      </c>
      <c r="D728" s="5" t="s">
        <v>2820</v>
      </c>
      <c r="E728" s="16" t="str">
        <f t="array" ref="E728">_xlfn.XLOOKUP(F728, Filmes!$D$2:$D$344, Filmes!$A$2:$A$344, "")</f>
        <v>248</v>
      </c>
      <c r="F728" s="7" t="s">
        <v>3036</v>
      </c>
      <c r="G728" s="17" t="s">
        <v>4128</v>
      </c>
      <c r="H728" s="17" t="s">
        <v>4129</v>
      </c>
      <c r="I728" s="19">
        <v>2.0</v>
      </c>
      <c r="J728" s="5"/>
      <c r="K728" s="5"/>
      <c r="L728" s="5" t="s">
        <v>65</v>
      </c>
      <c r="M728" s="5"/>
    </row>
    <row r="729" ht="15.75" customHeight="1">
      <c r="A729" s="14">
        <v>46303.0</v>
      </c>
      <c r="B729" s="5" t="s">
        <v>4124</v>
      </c>
      <c r="C729" s="15">
        <v>0.5729166666666666</v>
      </c>
      <c r="D729" s="5" t="s">
        <v>2820</v>
      </c>
      <c r="E729" s="16" t="str">
        <f t="array" ref="E729">_xlfn.XLOOKUP(F729, Filmes!$D$2:$D$344, Filmes!$A$2:$A$344, "")</f>
        <v>248</v>
      </c>
      <c r="F729" s="7" t="s">
        <v>3036</v>
      </c>
      <c r="G729" s="17" t="s">
        <v>4141</v>
      </c>
      <c r="H729" s="17" t="s">
        <v>4142</v>
      </c>
      <c r="I729" s="19"/>
      <c r="J729" s="5"/>
      <c r="K729" s="5"/>
      <c r="L729" s="5"/>
      <c r="M729" s="5"/>
    </row>
    <row r="730" ht="15.75" customHeight="1">
      <c r="A730" s="14">
        <v>46304.0</v>
      </c>
      <c r="B730" s="5" t="s">
        <v>4135</v>
      </c>
      <c r="C730" s="15">
        <v>0.5833333333333334</v>
      </c>
      <c r="D730" s="5" t="s">
        <v>2820</v>
      </c>
      <c r="E730" s="16" t="str">
        <f t="array" ref="E730">_xlfn.XLOOKUP(F730, Filmes!$D$2:$D$344, Filmes!$A$2:$A$344, "")</f>
        <v>248</v>
      </c>
      <c r="F730" s="7" t="s">
        <v>3036</v>
      </c>
      <c r="G730" s="17" t="s">
        <v>4139</v>
      </c>
      <c r="H730" s="17" t="s">
        <v>4140</v>
      </c>
      <c r="I730" s="19">
        <v>3.0</v>
      </c>
      <c r="J730" s="5"/>
      <c r="K730" s="5"/>
      <c r="L730" s="5"/>
      <c r="M730" s="5"/>
    </row>
    <row r="731" ht="15.75" customHeight="1">
      <c r="A731" s="14">
        <v>46298.0</v>
      </c>
      <c r="B731" s="5" t="s">
        <v>4127</v>
      </c>
      <c r="C731" s="15">
        <v>0.8020833333333334</v>
      </c>
      <c r="D731" s="5" t="s">
        <v>2820</v>
      </c>
      <c r="E731" s="16" t="str">
        <f t="array" ref="E731">_xlfn.XLOOKUP(F731, Filmes!$D$2:$D$344, Filmes!$A$2:$A$344, "")</f>
        <v>249</v>
      </c>
      <c r="F731" s="7" t="s">
        <v>3046</v>
      </c>
      <c r="G731" s="17" t="s">
        <v>4128</v>
      </c>
      <c r="H731" s="17" t="s">
        <v>4129</v>
      </c>
      <c r="I731" s="19">
        <v>4.0</v>
      </c>
      <c r="J731" s="10" t="s">
        <v>4166</v>
      </c>
      <c r="K731" s="5"/>
      <c r="L731" s="5" t="s">
        <v>65</v>
      </c>
      <c r="M731" s="5"/>
    </row>
    <row r="732" ht="15.75" customHeight="1">
      <c r="A732" s="14">
        <v>46298.0</v>
      </c>
      <c r="B732" s="5" t="s">
        <v>4127</v>
      </c>
      <c r="C732" s="15">
        <v>0.8020833333333334</v>
      </c>
      <c r="D732" s="5" t="s">
        <v>2820</v>
      </c>
      <c r="E732" s="16" t="str">
        <f t="array" ref="E732">_xlfn.XLOOKUP(F732, Filmes!$D$2:$D$344, Filmes!$A$2:$A$344, "")</f>
        <v>249</v>
      </c>
      <c r="F732" s="7" t="s">
        <v>3046</v>
      </c>
      <c r="G732" s="17" t="s">
        <v>4128</v>
      </c>
      <c r="H732" s="17" t="s">
        <v>4129</v>
      </c>
      <c r="I732" s="19">
        <v>5.0</v>
      </c>
      <c r="J732" s="10" t="s">
        <v>4166</v>
      </c>
      <c r="K732" s="5"/>
      <c r="L732" s="5" t="s">
        <v>65</v>
      </c>
      <c r="M732" s="5"/>
    </row>
    <row r="733" ht="15.75" customHeight="1">
      <c r="A733" s="14">
        <v>46299.0</v>
      </c>
      <c r="B733" s="5" t="s">
        <v>4136</v>
      </c>
      <c r="C733" s="15">
        <v>0.5625</v>
      </c>
      <c r="D733" s="5" t="s">
        <v>2820</v>
      </c>
      <c r="E733" s="16" t="str">
        <f t="array" ref="E733">_xlfn.XLOOKUP(F733, Filmes!$D$2:$D$344, Filmes!$A$2:$A$344, "")</f>
        <v>249</v>
      </c>
      <c r="F733" s="7" t="s">
        <v>3046</v>
      </c>
      <c r="G733" s="17" t="s">
        <v>4122</v>
      </c>
      <c r="H733" s="17" t="s">
        <v>4123</v>
      </c>
      <c r="I733" s="19"/>
      <c r="J733" s="10" t="s">
        <v>4166</v>
      </c>
      <c r="K733" s="5" t="s">
        <v>65</v>
      </c>
      <c r="L733" s="5"/>
      <c r="M733" s="5" t="s">
        <v>65</v>
      </c>
    </row>
    <row r="734" ht="15.75" customHeight="1">
      <c r="A734" s="14">
        <v>46300.0</v>
      </c>
      <c r="B734" s="5" t="s">
        <v>4132</v>
      </c>
      <c r="C734" s="15">
        <v>0.78125</v>
      </c>
      <c r="D734" s="5" t="s">
        <v>2820</v>
      </c>
      <c r="E734" s="16" t="str">
        <f t="array" ref="E734">_xlfn.XLOOKUP(F734, Filmes!$D$2:$D$344, Filmes!$A$2:$A$344, "")</f>
        <v>249</v>
      </c>
      <c r="F734" s="7" t="s">
        <v>3046</v>
      </c>
      <c r="G734" s="17" t="s">
        <v>4130</v>
      </c>
      <c r="H734" s="17" t="s">
        <v>4131</v>
      </c>
      <c r="I734" s="19">
        <v>5.0</v>
      </c>
      <c r="J734" s="5" t="s">
        <v>4166</v>
      </c>
      <c r="K734" s="5"/>
      <c r="L734" s="5"/>
      <c r="M734" s="5"/>
    </row>
    <row r="735" ht="15.75" customHeight="1">
      <c r="A735" s="14">
        <v>46300.0</v>
      </c>
      <c r="B735" s="5" t="s">
        <v>4132</v>
      </c>
      <c r="C735" s="15">
        <v>0.90625</v>
      </c>
      <c r="D735" s="5" t="s">
        <v>2820</v>
      </c>
      <c r="E735" s="16" t="str">
        <f t="array" ref="E735">_xlfn.XLOOKUP(F735, Filmes!$D$2:$D$344, Filmes!$A$2:$A$344, "")</f>
        <v>250</v>
      </c>
      <c r="F735" s="7" t="s">
        <v>3059</v>
      </c>
      <c r="G735" s="17" t="s">
        <v>4128</v>
      </c>
      <c r="H735" s="17" t="s">
        <v>4129</v>
      </c>
      <c r="I735" s="19">
        <v>4.0</v>
      </c>
      <c r="J735" s="10" t="s">
        <v>4167</v>
      </c>
      <c r="K735" s="5"/>
      <c r="L735" s="5" t="s">
        <v>65</v>
      </c>
      <c r="M735" s="5"/>
    </row>
    <row r="736" ht="15.75" customHeight="1">
      <c r="A736" s="14">
        <v>46300.0</v>
      </c>
      <c r="B736" s="5" t="s">
        <v>4132</v>
      </c>
      <c r="C736" s="15">
        <v>0.90625</v>
      </c>
      <c r="D736" s="5" t="s">
        <v>2820</v>
      </c>
      <c r="E736" s="16" t="str">
        <f t="array" ref="E736">_xlfn.XLOOKUP(F736, Filmes!$D$2:$D$344, Filmes!$A$2:$A$344, "")</f>
        <v>250</v>
      </c>
      <c r="F736" s="7" t="s">
        <v>3059</v>
      </c>
      <c r="G736" s="17" t="s">
        <v>4128</v>
      </c>
      <c r="H736" s="17" t="s">
        <v>4129</v>
      </c>
      <c r="I736" s="19">
        <v>5.0</v>
      </c>
      <c r="J736" s="10" t="s">
        <v>4167</v>
      </c>
      <c r="K736" s="5"/>
      <c r="L736" s="5" t="s">
        <v>65</v>
      </c>
      <c r="M736" s="5"/>
    </row>
    <row r="737" ht="15.75" customHeight="1">
      <c r="A737" s="14">
        <v>46301.0</v>
      </c>
      <c r="B737" s="5" t="s">
        <v>4121</v>
      </c>
      <c r="C737" s="15">
        <v>0.6875</v>
      </c>
      <c r="D737" s="5" t="s">
        <v>2820</v>
      </c>
      <c r="E737" s="16" t="str">
        <f t="array" ref="E737">_xlfn.XLOOKUP(F737, Filmes!$D$2:$D$344, Filmes!$A$2:$A$344, "")</f>
        <v>250</v>
      </c>
      <c r="F737" s="7" t="s">
        <v>3059</v>
      </c>
      <c r="G737" s="17" t="s">
        <v>4122</v>
      </c>
      <c r="H737" s="17" t="s">
        <v>4123</v>
      </c>
      <c r="I737" s="19"/>
      <c r="J737" s="10" t="s">
        <v>4167</v>
      </c>
      <c r="K737" s="5" t="s">
        <v>65</v>
      </c>
      <c r="L737" s="5"/>
      <c r="M737" s="5" t="s">
        <v>65</v>
      </c>
    </row>
    <row r="738" ht="15.75" customHeight="1">
      <c r="A738" s="14">
        <v>46302.0</v>
      </c>
      <c r="B738" s="5" t="s">
        <v>4143</v>
      </c>
      <c r="C738" s="15">
        <v>0.8854166666666666</v>
      </c>
      <c r="D738" s="5" t="s">
        <v>2820</v>
      </c>
      <c r="E738" s="16" t="str">
        <f t="array" ref="E738">_xlfn.XLOOKUP(F738, Filmes!$D$2:$D$344, Filmes!$A$2:$A$344, "")</f>
        <v>250</v>
      </c>
      <c r="F738" s="7" t="s">
        <v>3059</v>
      </c>
      <c r="G738" s="17" t="s">
        <v>4130</v>
      </c>
      <c r="H738" s="17" t="s">
        <v>4131</v>
      </c>
      <c r="I738" s="19">
        <v>5.0</v>
      </c>
      <c r="J738" s="5" t="s">
        <v>4167</v>
      </c>
      <c r="K738" s="5"/>
      <c r="L738" s="5"/>
      <c r="M738" s="5"/>
    </row>
    <row r="739" ht="15.75" customHeight="1">
      <c r="A739" s="14">
        <v>46302.0</v>
      </c>
      <c r="B739" s="5" t="s">
        <v>4143</v>
      </c>
      <c r="C739" s="15">
        <v>0.78125</v>
      </c>
      <c r="D739" s="5" t="s">
        <v>2820</v>
      </c>
      <c r="E739" s="16" t="str">
        <f t="array" ref="E739">_xlfn.XLOOKUP(F739, Filmes!$D$2:$D$344, Filmes!$A$2:$A$344, "")</f>
        <v>251</v>
      </c>
      <c r="F739" s="7" t="s">
        <v>3070</v>
      </c>
      <c r="G739" s="17" t="s">
        <v>4152</v>
      </c>
      <c r="H739" s="17" t="s">
        <v>4153</v>
      </c>
      <c r="I739" s="19"/>
      <c r="J739" s="10" t="s">
        <v>4168</v>
      </c>
      <c r="K739" s="5" t="s">
        <v>65</v>
      </c>
      <c r="L739" s="5" t="s">
        <v>65</v>
      </c>
      <c r="M739" s="5"/>
    </row>
    <row r="740" ht="15.75" customHeight="1">
      <c r="A740" s="14">
        <v>46304.0</v>
      </c>
      <c r="B740" s="5" t="s">
        <v>4135</v>
      </c>
      <c r="C740" s="15">
        <v>0.6875</v>
      </c>
      <c r="D740" s="5" t="s">
        <v>2820</v>
      </c>
      <c r="E740" s="16" t="str">
        <f t="array" ref="E740">_xlfn.XLOOKUP(F740, Filmes!$D$2:$D$344, Filmes!$A$2:$A$344, "")</f>
        <v>251</v>
      </c>
      <c r="F740" s="7" t="s">
        <v>3070</v>
      </c>
      <c r="G740" s="17" t="s">
        <v>4130</v>
      </c>
      <c r="H740" s="17" t="s">
        <v>4131</v>
      </c>
      <c r="I740" s="19">
        <v>1.0</v>
      </c>
      <c r="J740" s="5" t="s">
        <v>4168</v>
      </c>
      <c r="K740" s="5"/>
      <c r="L740" s="5"/>
      <c r="M740" s="5"/>
    </row>
    <row r="741" ht="15.75" customHeight="1">
      <c r="A741" s="14">
        <v>46303.0</v>
      </c>
      <c r="B741" s="5" t="s">
        <v>4124</v>
      </c>
      <c r="C741" s="15">
        <v>0.8958333333333334</v>
      </c>
      <c r="D741" s="5" t="s">
        <v>2820</v>
      </c>
      <c r="E741" s="16" t="str">
        <f t="array" ref="E741">_xlfn.XLOOKUP(F741, Filmes!$D$2:$D$344, Filmes!$A$2:$A$344, "")</f>
        <v>252</v>
      </c>
      <c r="F741" s="7" t="s">
        <v>3081</v>
      </c>
      <c r="G741" s="17" t="s">
        <v>4128</v>
      </c>
      <c r="H741" s="17" t="s">
        <v>4129</v>
      </c>
      <c r="I741" s="19">
        <v>1.0</v>
      </c>
      <c r="J741" s="5"/>
      <c r="K741" s="5"/>
      <c r="L741" s="5" t="s">
        <v>65</v>
      </c>
      <c r="M741" s="5"/>
    </row>
    <row r="742" ht="15.75" customHeight="1">
      <c r="A742" s="14">
        <v>46303.0</v>
      </c>
      <c r="B742" s="5" t="s">
        <v>4124</v>
      </c>
      <c r="C742" s="15">
        <v>0.8958333333333334</v>
      </c>
      <c r="D742" s="5" t="s">
        <v>2820</v>
      </c>
      <c r="E742" s="16" t="str">
        <f t="array" ref="E742">_xlfn.XLOOKUP(F742, Filmes!$D$2:$D$344, Filmes!$A$2:$A$344, "")</f>
        <v>252</v>
      </c>
      <c r="F742" s="7" t="s">
        <v>3081</v>
      </c>
      <c r="G742" s="17" t="s">
        <v>4128</v>
      </c>
      <c r="H742" s="17" t="s">
        <v>4129</v>
      </c>
      <c r="I742" s="19">
        <v>2.0</v>
      </c>
      <c r="J742" s="5"/>
      <c r="K742" s="5"/>
      <c r="L742" s="5" t="s">
        <v>65</v>
      </c>
      <c r="M742" s="5"/>
    </row>
    <row r="743" ht="15.75" customHeight="1">
      <c r="A743" s="14">
        <v>46304.0</v>
      </c>
      <c r="B743" s="5" t="s">
        <v>4135</v>
      </c>
      <c r="C743" s="15">
        <v>0.5729166666666666</v>
      </c>
      <c r="D743" s="5" t="s">
        <v>2820</v>
      </c>
      <c r="E743" s="16" t="str">
        <f t="array" ref="E743">_xlfn.XLOOKUP(F743, Filmes!$D$2:$D$344, Filmes!$A$2:$A$344, "")</f>
        <v>252</v>
      </c>
      <c r="F743" s="7" t="s">
        <v>3081</v>
      </c>
      <c r="G743" s="17" t="s">
        <v>4141</v>
      </c>
      <c r="H743" s="17" t="s">
        <v>4142</v>
      </c>
      <c r="I743" s="19"/>
      <c r="J743" s="5"/>
      <c r="K743" s="5"/>
      <c r="L743" s="5"/>
      <c r="M743" s="5"/>
    </row>
    <row r="744" ht="15.75" customHeight="1">
      <c r="A744" s="14">
        <v>46305.0</v>
      </c>
      <c r="B744" s="5" t="s">
        <v>4127</v>
      </c>
      <c r="C744" s="15">
        <v>0.5833333333333334</v>
      </c>
      <c r="D744" s="5" t="s">
        <v>2820</v>
      </c>
      <c r="E744" s="16" t="str">
        <f t="array" ref="E744">_xlfn.XLOOKUP(F744, Filmes!$D$2:$D$344, Filmes!$A$2:$A$344, "")</f>
        <v>252</v>
      </c>
      <c r="F744" s="7" t="s">
        <v>3081</v>
      </c>
      <c r="G744" s="17" t="s">
        <v>4139</v>
      </c>
      <c r="H744" s="17" t="s">
        <v>4140</v>
      </c>
      <c r="I744" s="19">
        <v>3.0</v>
      </c>
      <c r="J744" s="5"/>
      <c r="K744" s="5"/>
      <c r="L744" s="5"/>
      <c r="M744" s="5"/>
    </row>
    <row r="745" ht="15.75" customHeight="1">
      <c r="A745" s="14">
        <v>46304.0</v>
      </c>
      <c r="B745" s="5" t="s">
        <v>4135</v>
      </c>
      <c r="C745" s="15">
        <v>0.7083333333333334</v>
      </c>
      <c r="D745" s="5" t="s">
        <v>2820</v>
      </c>
      <c r="E745" s="16" t="str">
        <f t="array" ref="E745">_xlfn.XLOOKUP(F745, Filmes!$D$2:$D$344, Filmes!$A$2:$A$344, "")</f>
        <v>253</v>
      </c>
      <c r="F745" s="7" t="s">
        <v>3094</v>
      </c>
      <c r="G745" s="17" t="s">
        <v>4128</v>
      </c>
      <c r="H745" s="17" t="s">
        <v>4129</v>
      </c>
      <c r="I745" s="19">
        <v>4.0</v>
      </c>
      <c r="J745" s="5"/>
      <c r="K745" s="5"/>
      <c r="L745" s="5" t="s">
        <v>65</v>
      </c>
      <c r="M745" s="5"/>
    </row>
    <row r="746" ht="15.75" customHeight="1">
      <c r="A746" s="14">
        <v>46304.0</v>
      </c>
      <c r="B746" s="5" t="s">
        <v>4135</v>
      </c>
      <c r="C746" s="15">
        <v>0.7083333333333334</v>
      </c>
      <c r="D746" s="5" t="s">
        <v>2820</v>
      </c>
      <c r="E746" s="16" t="str">
        <f t="array" ref="E746">_xlfn.XLOOKUP(F746, Filmes!$D$2:$D$344, Filmes!$A$2:$A$344, "")</f>
        <v>253</v>
      </c>
      <c r="F746" s="7" t="s">
        <v>3094</v>
      </c>
      <c r="G746" s="17" t="s">
        <v>4128</v>
      </c>
      <c r="H746" s="17" t="s">
        <v>4129</v>
      </c>
      <c r="I746" s="19">
        <v>5.0</v>
      </c>
      <c r="J746" s="5"/>
      <c r="K746" s="5"/>
      <c r="L746" s="5" t="s">
        <v>65</v>
      </c>
      <c r="M746" s="5"/>
    </row>
    <row r="747" ht="15.75" customHeight="1">
      <c r="A747" s="14">
        <v>46305.0</v>
      </c>
      <c r="B747" s="5" t="s">
        <v>4127</v>
      </c>
      <c r="C747" s="15">
        <v>0.4375</v>
      </c>
      <c r="D747" s="5" t="s">
        <v>2820</v>
      </c>
      <c r="E747" s="16" t="str">
        <f t="array" ref="E747">_xlfn.XLOOKUP(F747, Filmes!$D$2:$D$344, Filmes!$A$2:$A$344, "")</f>
        <v>253</v>
      </c>
      <c r="F747" s="7" t="s">
        <v>3094</v>
      </c>
      <c r="G747" s="17" t="s">
        <v>4122</v>
      </c>
      <c r="H747" s="17" t="s">
        <v>4123</v>
      </c>
      <c r="I747" s="18"/>
      <c r="J747" s="10"/>
      <c r="K747" s="5" t="s">
        <v>65</v>
      </c>
      <c r="L747" s="5"/>
      <c r="M747" s="5" t="s">
        <v>65</v>
      </c>
    </row>
    <row r="748" ht="15.75" customHeight="1">
      <c r="A748" s="14">
        <v>46305.0</v>
      </c>
      <c r="B748" s="5" t="s">
        <v>4127</v>
      </c>
      <c r="C748" s="15">
        <v>0.7708333333333334</v>
      </c>
      <c r="D748" s="5" t="s">
        <v>2820</v>
      </c>
      <c r="E748" s="16" t="str">
        <f t="array" ref="E748">_xlfn.XLOOKUP(F748, Filmes!$D$2:$D$344, Filmes!$A$2:$A$344, "")</f>
        <v>253</v>
      </c>
      <c r="F748" s="7" t="s">
        <v>3094</v>
      </c>
      <c r="G748" s="17" t="s">
        <v>4130</v>
      </c>
      <c r="H748" s="17" t="s">
        <v>4131</v>
      </c>
      <c r="I748" s="19">
        <v>2.0</v>
      </c>
      <c r="J748" s="5"/>
      <c r="K748" s="5"/>
      <c r="L748" s="5"/>
      <c r="M748" s="5"/>
    </row>
    <row r="749" ht="15.75" customHeight="1">
      <c r="A749" s="14">
        <v>46297.0</v>
      </c>
      <c r="B749" s="5" t="s">
        <v>4135</v>
      </c>
      <c r="C749" s="15">
        <v>0.8958333333333334</v>
      </c>
      <c r="D749" s="5" t="s">
        <v>2820</v>
      </c>
      <c r="E749" s="16" t="str">
        <f t="array" ref="E749">_xlfn.XLOOKUP(F749, Filmes!$D$2:$D$344, Filmes!$A$2:$A$344, "")</f>
        <v>254</v>
      </c>
      <c r="F749" s="7" t="s">
        <v>3107</v>
      </c>
      <c r="G749" s="17" t="s">
        <v>4130</v>
      </c>
      <c r="H749" s="17" t="s">
        <v>4131</v>
      </c>
      <c r="I749" s="19">
        <v>4.0</v>
      </c>
      <c r="J749" s="5"/>
      <c r="K749" s="5"/>
      <c r="L749" s="5" t="s">
        <v>65</v>
      </c>
      <c r="M749" s="5"/>
    </row>
    <row r="750" ht="15.75" customHeight="1">
      <c r="A750" s="14">
        <v>46300.0</v>
      </c>
      <c r="B750" s="5" t="s">
        <v>4132</v>
      </c>
      <c r="C750" s="15">
        <v>0.6875</v>
      </c>
      <c r="D750" s="5" t="s">
        <v>2820</v>
      </c>
      <c r="E750" s="16" t="str">
        <f t="array" ref="E750">_xlfn.XLOOKUP(F750, Filmes!$D$2:$D$344, Filmes!$A$2:$A$344, "")</f>
        <v>254</v>
      </c>
      <c r="F750" s="7" t="s">
        <v>3107</v>
      </c>
      <c r="G750" s="17" t="s">
        <v>4139</v>
      </c>
      <c r="H750" s="17" t="s">
        <v>4140</v>
      </c>
      <c r="I750" s="19">
        <v>4.0</v>
      </c>
      <c r="J750" s="5"/>
      <c r="K750" s="5"/>
      <c r="L750" s="5"/>
      <c r="M750" s="5"/>
    </row>
    <row r="751" ht="15.75" customHeight="1">
      <c r="A751" s="14">
        <v>46304.0</v>
      </c>
      <c r="B751" s="5" t="s">
        <v>4135</v>
      </c>
      <c r="C751" s="15">
        <v>0.90625</v>
      </c>
      <c r="D751" s="5" t="s">
        <v>2820</v>
      </c>
      <c r="E751" s="16" t="str">
        <f t="array" ref="E751">_xlfn.XLOOKUP(F751, Filmes!$D$2:$D$344, Filmes!$A$2:$A$344, "")</f>
        <v>255</v>
      </c>
      <c r="F751" s="7" t="s">
        <v>3118</v>
      </c>
      <c r="G751" s="17" t="s">
        <v>4122</v>
      </c>
      <c r="H751" s="17" t="s">
        <v>4123</v>
      </c>
      <c r="I751" s="19"/>
      <c r="J751" s="10"/>
      <c r="K751" s="5" t="s">
        <v>65</v>
      </c>
      <c r="L751" s="5" t="s">
        <v>65</v>
      </c>
      <c r="M751" s="5"/>
    </row>
    <row r="752" ht="15.75" customHeight="1">
      <c r="A752" s="14">
        <v>46302.0</v>
      </c>
      <c r="B752" s="5" t="s">
        <v>4143</v>
      </c>
      <c r="C752" s="15">
        <v>0.8854166666666666</v>
      </c>
      <c r="D752" s="5" t="s">
        <v>2820</v>
      </c>
      <c r="E752" s="16" t="str">
        <f t="array" ref="E752">_xlfn.XLOOKUP(F752, Filmes!$D$2:$D$344, Filmes!$A$2:$A$344, "")</f>
        <v>256</v>
      </c>
      <c r="F752" s="7" t="s">
        <v>3130</v>
      </c>
      <c r="G752" s="17" t="s">
        <v>4152</v>
      </c>
      <c r="H752" s="17" t="s">
        <v>4153</v>
      </c>
      <c r="I752" s="19"/>
      <c r="J752" s="10" t="s">
        <v>4169</v>
      </c>
      <c r="K752" s="5" t="s">
        <v>65</v>
      </c>
      <c r="L752" s="5" t="s">
        <v>65</v>
      </c>
      <c r="M752" s="5"/>
    </row>
    <row r="753" ht="15.75" customHeight="1">
      <c r="A753" s="14">
        <v>46304.0</v>
      </c>
      <c r="B753" s="5" t="s">
        <v>4135</v>
      </c>
      <c r="C753" s="15">
        <v>0.5833333333333334</v>
      </c>
      <c r="D753" s="5" t="s">
        <v>2820</v>
      </c>
      <c r="E753" s="16" t="str">
        <f t="array" ref="E753">_xlfn.XLOOKUP(F753, Filmes!$D$2:$D$344, Filmes!$A$2:$A$344, "")</f>
        <v>256</v>
      </c>
      <c r="F753" s="7" t="s">
        <v>3130</v>
      </c>
      <c r="G753" s="17" t="s">
        <v>4147</v>
      </c>
      <c r="H753" s="17" t="s">
        <v>4148</v>
      </c>
      <c r="I753" s="19"/>
      <c r="J753" s="10" t="s">
        <v>4170</v>
      </c>
      <c r="K753" s="5" t="s">
        <v>65</v>
      </c>
      <c r="L753" s="5"/>
      <c r="M753" s="5" t="s">
        <v>65</v>
      </c>
    </row>
    <row r="754" ht="15.75" customHeight="1">
      <c r="A754" s="14">
        <v>46304.0</v>
      </c>
      <c r="B754" s="5" t="s">
        <v>4135</v>
      </c>
      <c r="C754" s="15">
        <v>0.78125</v>
      </c>
      <c r="D754" s="5" t="s">
        <v>2820</v>
      </c>
      <c r="E754" s="16" t="str">
        <f t="array" ref="E754">_xlfn.XLOOKUP(F754, Filmes!$D$2:$D$344, Filmes!$A$2:$A$344, "")</f>
        <v>256</v>
      </c>
      <c r="F754" s="7" t="s">
        <v>3130</v>
      </c>
      <c r="G754" s="17" t="s">
        <v>4130</v>
      </c>
      <c r="H754" s="17" t="s">
        <v>4131</v>
      </c>
      <c r="I754" s="19">
        <v>3.0</v>
      </c>
      <c r="J754" s="5" t="s">
        <v>4169</v>
      </c>
      <c r="K754" s="5"/>
      <c r="L754" s="5"/>
      <c r="M754" s="5"/>
    </row>
    <row r="755" ht="15.75" customHeight="1">
      <c r="A755" s="14">
        <v>46306.0</v>
      </c>
      <c r="B755" s="5" t="s">
        <v>4136</v>
      </c>
      <c r="C755" s="15">
        <v>0.5833333333333334</v>
      </c>
      <c r="D755" s="5" t="s">
        <v>2820</v>
      </c>
      <c r="E755" s="16" t="str">
        <f t="array" ref="E755">_xlfn.XLOOKUP(F755, Filmes!$D$2:$D$344, Filmes!$A$2:$A$344, "")</f>
        <v>256</v>
      </c>
      <c r="F755" s="7" t="s">
        <v>3130</v>
      </c>
      <c r="G755" s="17" t="s">
        <v>4137</v>
      </c>
      <c r="H755" s="17" t="s">
        <v>4138</v>
      </c>
      <c r="I755" s="19">
        <v>1.0</v>
      </c>
      <c r="J755" s="5" t="s">
        <v>4169</v>
      </c>
      <c r="K755" s="5"/>
      <c r="L755" s="5"/>
      <c r="M755" s="5"/>
    </row>
    <row r="756" ht="15.75" customHeight="1">
      <c r="A756" s="14">
        <v>46300.0</v>
      </c>
      <c r="B756" s="5" t="s">
        <v>4132</v>
      </c>
      <c r="C756" s="15">
        <v>0.78125</v>
      </c>
      <c r="D756" s="5" t="s">
        <v>2820</v>
      </c>
      <c r="E756" s="16" t="str">
        <f t="array" ref="E756">_xlfn.XLOOKUP(F756, Filmes!$D$2:$D$344, Filmes!$A$2:$A$344, "")</f>
        <v>257</v>
      </c>
      <c r="F756" s="7" t="s">
        <v>3142</v>
      </c>
      <c r="G756" s="17" t="s">
        <v>4128</v>
      </c>
      <c r="H756" s="17" t="s">
        <v>4129</v>
      </c>
      <c r="I756" s="19">
        <v>1.0</v>
      </c>
      <c r="J756" s="10" t="s">
        <v>4171</v>
      </c>
      <c r="K756" s="5"/>
      <c r="L756" s="5" t="s">
        <v>65</v>
      </c>
      <c r="M756" s="5"/>
    </row>
    <row r="757" ht="15.75" customHeight="1">
      <c r="A757" s="14">
        <v>46300.0</v>
      </c>
      <c r="B757" s="5" t="s">
        <v>4132</v>
      </c>
      <c r="C757" s="15">
        <v>0.78125</v>
      </c>
      <c r="D757" s="5" t="s">
        <v>2820</v>
      </c>
      <c r="E757" s="16" t="str">
        <f t="array" ref="E757">_xlfn.XLOOKUP(F757, Filmes!$D$2:$D$344, Filmes!$A$2:$A$344, "")</f>
        <v>257</v>
      </c>
      <c r="F757" s="7" t="s">
        <v>3142</v>
      </c>
      <c r="G757" s="17" t="s">
        <v>4128</v>
      </c>
      <c r="H757" s="17" t="s">
        <v>4129</v>
      </c>
      <c r="I757" s="19">
        <v>2.0</v>
      </c>
      <c r="J757" s="10" t="s">
        <v>4171</v>
      </c>
      <c r="K757" s="5"/>
      <c r="L757" s="5" t="s">
        <v>65</v>
      </c>
      <c r="M757" s="5"/>
    </row>
    <row r="758" ht="15.75" customHeight="1">
      <c r="A758" s="14">
        <v>46301.0</v>
      </c>
      <c r="B758" s="5" t="s">
        <v>4121</v>
      </c>
      <c r="C758" s="15">
        <v>0.6770833333333334</v>
      </c>
      <c r="D758" s="5" t="s">
        <v>2820</v>
      </c>
      <c r="E758" s="16" t="str">
        <f t="array" ref="E758">_xlfn.XLOOKUP(F758, Filmes!$D$2:$D$344, Filmes!$A$2:$A$344, "")</f>
        <v>257</v>
      </c>
      <c r="F758" s="7" t="s">
        <v>3142</v>
      </c>
      <c r="G758" s="17" t="s">
        <v>4139</v>
      </c>
      <c r="H758" s="17" t="s">
        <v>4140</v>
      </c>
      <c r="I758" s="19">
        <v>5.0</v>
      </c>
      <c r="J758" s="10" t="s">
        <v>4171</v>
      </c>
      <c r="K758" s="5"/>
      <c r="L758" s="5"/>
      <c r="M758" s="5" t="s">
        <v>65</v>
      </c>
    </row>
    <row r="759" ht="15.75" customHeight="1">
      <c r="A759" s="14">
        <v>46302.0</v>
      </c>
      <c r="B759" s="5" t="s">
        <v>4143</v>
      </c>
      <c r="C759" s="15">
        <v>0.5729166666666666</v>
      </c>
      <c r="D759" s="5" t="s">
        <v>2820</v>
      </c>
      <c r="E759" s="16" t="str">
        <f t="array" ref="E759">_xlfn.XLOOKUP(F759, Filmes!$D$2:$D$344, Filmes!$A$2:$A$344, "")</f>
        <v>257</v>
      </c>
      <c r="F759" s="7" t="s">
        <v>3142</v>
      </c>
      <c r="G759" s="17" t="s">
        <v>4130</v>
      </c>
      <c r="H759" s="17" t="s">
        <v>4131</v>
      </c>
      <c r="I759" s="19">
        <v>5.0</v>
      </c>
      <c r="J759" s="5" t="s">
        <v>4171</v>
      </c>
      <c r="K759" s="5"/>
      <c r="L759" s="5"/>
      <c r="M759" s="5"/>
    </row>
    <row r="760" ht="15.75" customHeight="1">
      <c r="A760" s="14">
        <v>46298.0</v>
      </c>
      <c r="B760" s="5" t="s">
        <v>4127</v>
      </c>
      <c r="C760" s="15">
        <v>0.7604166666666666</v>
      </c>
      <c r="D760" s="5" t="s">
        <v>2820</v>
      </c>
      <c r="E760" s="16" t="str">
        <f t="array" ref="E760">_xlfn.XLOOKUP(F760, Filmes!$D$2:$D$344, Filmes!$A$2:$A$344, "")</f>
        <v>258</v>
      </c>
      <c r="F760" s="7" t="s">
        <v>3153</v>
      </c>
      <c r="G760" s="17" t="s">
        <v>4128</v>
      </c>
      <c r="H760" s="17" t="s">
        <v>4129</v>
      </c>
      <c r="I760" s="19">
        <v>3.0</v>
      </c>
      <c r="J760" s="5"/>
      <c r="K760" s="5"/>
      <c r="L760" s="5" t="s">
        <v>65</v>
      </c>
      <c r="M760" s="5"/>
    </row>
    <row r="761" ht="15.75" customHeight="1">
      <c r="A761" s="14">
        <v>46300.0</v>
      </c>
      <c r="B761" s="5" t="s">
        <v>4132</v>
      </c>
      <c r="C761" s="15">
        <v>0.7604166666666666</v>
      </c>
      <c r="D761" s="5" t="s">
        <v>2820</v>
      </c>
      <c r="E761" s="16" t="str">
        <f t="array" ref="E761">_xlfn.XLOOKUP(F761, Filmes!$D$2:$D$344, Filmes!$A$2:$A$344, "")</f>
        <v>258</v>
      </c>
      <c r="F761" s="7" t="s">
        <v>3153</v>
      </c>
      <c r="G761" s="17" t="s">
        <v>4141</v>
      </c>
      <c r="H761" s="17" t="s">
        <v>4142</v>
      </c>
      <c r="I761" s="19"/>
      <c r="J761" s="5"/>
      <c r="K761" s="5"/>
      <c r="L761" s="5"/>
      <c r="M761" s="5"/>
    </row>
    <row r="762" ht="15.75" customHeight="1">
      <c r="A762" s="14">
        <v>46301.0</v>
      </c>
      <c r="B762" s="5" t="s">
        <v>4121</v>
      </c>
      <c r="C762" s="15">
        <v>0.8854166666666666</v>
      </c>
      <c r="D762" s="5" t="s">
        <v>2820</v>
      </c>
      <c r="E762" s="16" t="str">
        <f t="array" ref="E762">_xlfn.XLOOKUP(F762, Filmes!$D$2:$D$344, Filmes!$A$2:$A$344, "")</f>
        <v>258</v>
      </c>
      <c r="F762" s="7" t="s">
        <v>3153</v>
      </c>
      <c r="G762" s="17" t="s">
        <v>4139</v>
      </c>
      <c r="H762" s="17" t="s">
        <v>4140</v>
      </c>
      <c r="I762" s="19">
        <v>3.0</v>
      </c>
      <c r="J762" s="5"/>
      <c r="K762" s="5"/>
      <c r="L762" s="5"/>
      <c r="M762" s="5"/>
    </row>
    <row r="763" ht="15.75" customHeight="1">
      <c r="A763" s="14">
        <v>46300.0</v>
      </c>
      <c r="B763" s="5" t="s">
        <v>4132</v>
      </c>
      <c r="C763" s="15">
        <v>0.90625</v>
      </c>
      <c r="D763" s="5" t="s">
        <v>2820</v>
      </c>
      <c r="E763" s="16" t="str">
        <f t="array" ref="E763">_xlfn.XLOOKUP(F763, Filmes!$D$2:$D$344, Filmes!$A$2:$A$344, "")</f>
        <v>259</v>
      </c>
      <c r="F763" s="7" t="s">
        <v>3164</v>
      </c>
      <c r="G763" s="17" t="s">
        <v>4122</v>
      </c>
      <c r="H763" s="17" t="s">
        <v>4123</v>
      </c>
      <c r="I763" s="19"/>
      <c r="J763" s="10"/>
      <c r="K763" s="5" t="s">
        <v>65</v>
      </c>
      <c r="L763" s="5" t="s">
        <v>65</v>
      </c>
      <c r="M763" s="5"/>
    </row>
    <row r="764" ht="15.75" customHeight="1">
      <c r="A764" s="14">
        <v>46297.0</v>
      </c>
      <c r="B764" s="5" t="s">
        <v>4135</v>
      </c>
      <c r="C764" s="15">
        <v>0.7916666666666666</v>
      </c>
      <c r="D764" s="5" t="s">
        <v>2820</v>
      </c>
      <c r="E764" s="16" t="str">
        <f t="array" ref="E764">_xlfn.XLOOKUP(F764, Filmes!$D$2:$D$344, Filmes!$A$2:$A$344, "")</f>
        <v>260</v>
      </c>
      <c r="F764" s="7" t="s">
        <v>3174</v>
      </c>
      <c r="G764" s="17" t="s">
        <v>4130</v>
      </c>
      <c r="H764" s="17" t="s">
        <v>4131</v>
      </c>
      <c r="I764" s="19">
        <v>4.0</v>
      </c>
      <c r="J764" s="5"/>
      <c r="K764" s="5"/>
      <c r="L764" s="5" t="s">
        <v>65</v>
      </c>
      <c r="M764" s="5"/>
    </row>
    <row r="765" ht="15.75" customHeight="1">
      <c r="A765" s="14">
        <v>46298.0</v>
      </c>
      <c r="B765" s="5" t="s">
        <v>4127</v>
      </c>
      <c r="C765" s="15">
        <v>0.8020833333333334</v>
      </c>
      <c r="D765" s="5" t="s">
        <v>2820</v>
      </c>
      <c r="E765" s="16" t="str">
        <f t="array" ref="E765">_xlfn.XLOOKUP(F765, Filmes!$D$2:$D$344, Filmes!$A$2:$A$344, "")</f>
        <v>261</v>
      </c>
      <c r="F765" s="7" t="s">
        <v>3185</v>
      </c>
      <c r="G765" s="17" t="s">
        <v>4128</v>
      </c>
      <c r="H765" s="17" t="s">
        <v>4129</v>
      </c>
      <c r="I765" s="19">
        <v>4.0</v>
      </c>
      <c r="J765" s="5"/>
      <c r="K765" s="5"/>
      <c r="L765" s="5" t="s">
        <v>65</v>
      </c>
      <c r="M765" s="5"/>
    </row>
    <row r="766" ht="15.75" customHeight="1">
      <c r="A766" s="14">
        <v>46298.0</v>
      </c>
      <c r="B766" s="5" t="s">
        <v>4127</v>
      </c>
      <c r="C766" s="15">
        <v>0.8020833333333334</v>
      </c>
      <c r="D766" s="5" t="s">
        <v>2820</v>
      </c>
      <c r="E766" s="16" t="str">
        <f t="array" ref="E766">_xlfn.XLOOKUP(F766, Filmes!$D$2:$D$344, Filmes!$A$2:$A$344, "")</f>
        <v>261</v>
      </c>
      <c r="F766" s="7" t="s">
        <v>3185</v>
      </c>
      <c r="G766" s="17" t="s">
        <v>4128</v>
      </c>
      <c r="H766" s="17" t="s">
        <v>4129</v>
      </c>
      <c r="I766" s="19">
        <v>5.0</v>
      </c>
      <c r="J766" s="5"/>
      <c r="K766" s="5"/>
      <c r="L766" s="5" t="s">
        <v>65</v>
      </c>
      <c r="M766" s="5"/>
    </row>
    <row r="767" ht="15.75" customHeight="1">
      <c r="A767" s="14">
        <v>46299.0</v>
      </c>
      <c r="B767" s="5" t="s">
        <v>4136</v>
      </c>
      <c r="C767" s="15">
        <v>0.5625</v>
      </c>
      <c r="D767" s="5" t="s">
        <v>2820</v>
      </c>
      <c r="E767" s="16" t="str">
        <f t="array" ref="E767">_xlfn.XLOOKUP(F767, Filmes!$D$2:$D$344, Filmes!$A$2:$A$344, "")</f>
        <v>261</v>
      </c>
      <c r="F767" s="7" t="s">
        <v>3185</v>
      </c>
      <c r="G767" s="17" t="s">
        <v>4122</v>
      </c>
      <c r="H767" s="17" t="s">
        <v>4123</v>
      </c>
      <c r="I767" s="19"/>
      <c r="J767" s="10"/>
      <c r="K767" s="5" t="s">
        <v>65</v>
      </c>
      <c r="L767" s="5"/>
      <c r="M767" s="5" t="s">
        <v>65</v>
      </c>
    </row>
    <row r="768" ht="15.75" customHeight="1">
      <c r="A768" s="14">
        <v>46300.0</v>
      </c>
      <c r="B768" s="5" t="s">
        <v>4132</v>
      </c>
      <c r="C768" s="15">
        <v>0.78125</v>
      </c>
      <c r="D768" s="5" t="s">
        <v>2820</v>
      </c>
      <c r="E768" s="16" t="str">
        <f t="array" ref="E768">_xlfn.XLOOKUP(F768, Filmes!$D$2:$D$344, Filmes!$A$2:$A$344, "")</f>
        <v>261</v>
      </c>
      <c r="F768" s="7" t="s">
        <v>3185</v>
      </c>
      <c r="G768" s="17" t="s">
        <v>4130</v>
      </c>
      <c r="H768" s="17" t="s">
        <v>4131</v>
      </c>
      <c r="I768" s="19">
        <v>5.0</v>
      </c>
      <c r="J768" s="5"/>
      <c r="K768" s="5"/>
      <c r="L768" s="5"/>
      <c r="M768" s="5"/>
    </row>
    <row r="769" ht="15.75" customHeight="1">
      <c r="A769" s="14">
        <v>46299.0</v>
      </c>
      <c r="B769" s="5" t="s">
        <v>4136</v>
      </c>
      <c r="C769" s="15">
        <v>0.8020833333333334</v>
      </c>
      <c r="D769" s="5" t="s">
        <v>2820</v>
      </c>
      <c r="E769" s="16" t="str">
        <f t="array" ref="E769">_xlfn.XLOOKUP(F769, Filmes!$D$2:$D$344, Filmes!$A$2:$A$344, "")</f>
        <v>262</v>
      </c>
      <c r="F769" s="7" t="s">
        <v>3196</v>
      </c>
      <c r="G769" s="17" t="s">
        <v>4128</v>
      </c>
      <c r="H769" s="17" t="s">
        <v>4129</v>
      </c>
      <c r="I769" s="19">
        <v>4.0</v>
      </c>
      <c r="J769" s="5"/>
      <c r="K769" s="5"/>
      <c r="L769" s="5" t="s">
        <v>65</v>
      </c>
      <c r="M769" s="5"/>
    </row>
    <row r="770" ht="15.75" customHeight="1">
      <c r="A770" s="14">
        <v>46299.0</v>
      </c>
      <c r="B770" s="5" t="s">
        <v>4136</v>
      </c>
      <c r="C770" s="15">
        <v>0.8020833333333334</v>
      </c>
      <c r="D770" s="5" t="s">
        <v>2820</v>
      </c>
      <c r="E770" s="16" t="str">
        <f t="array" ref="E770">_xlfn.XLOOKUP(F770, Filmes!$D$2:$D$344, Filmes!$A$2:$A$344, "")</f>
        <v>262</v>
      </c>
      <c r="F770" s="7" t="s">
        <v>3196</v>
      </c>
      <c r="G770" s="17" t="s">
        <v>4128</v>
      </c>
      <c r="H770" s="17" t="s">
        <v>4129</v>
      </c>
      <c r="I770" s="19">
        <v>5.0</v>
      </c>
      <c r="J770" s="5"/>
      <c r="K770" s="5"/>
      <c r="L770" s="5" t="s">
        <v>65</v>
      </c>
      <c r="M770" s="5"/>
    </row>
    <row r="771" ht="15.75" customHeight="1">
      <c r="A771" s="14">
        <v>46300.0</v>
      </c>
      <c r="B771" s="5" t="s">
        <v>4132</v>
      </c>
      <c r="C771" s="15">
        <v>0.5625</v>
      </c>
      <c r="D771" s="5" t="s">
        <v>2820</v>
      </c>
      <c r="E771" s="16" t="str">
        <f t="array" ref="E771">_xlfn.XLOOKUP(F771, Filmes!$D$2:$D$344, Filmes!$A$2:$A$344, "")</f>
        <v>262</v>
      </c>
      <c r="F771" s="7" t="s">
        <v>3196</v>
      </c>
      <c r="G771" s="17" t="s">
        <v>4122</v>
      </c>
      <c r="H771" s="17" t="s">
        <v>4123</v>
      </c>
      <c r="I771" s="19"/>
      <c r="J771" s="10"/>
      <c r="K771" s="5" t="s">
        <v>65</v>
      </c>
      <c r="L771" s="5"/>
      <c r="M771" s="5" t="s">
        <v>65</v>
      </c>
    </row>
    <row r="772" ht="15.75" customHeight="1">
      <c r="A772" s="14">
        <v>46301.0</v>
      </c>
      <c r="B772" s="5" t="s">
        <v>4121</v>
      </c>
      <c r="C772" s="15">
        <v>0.78125</v>
      </c>
      <c r="D772" s="5" t="s">
        <v>2820</v>
      </c>
      <c r="E772" s="16" t="str">
        <f t="array" ref="E772">_xlfn.XLOOKUP(F772, Filmes!$D$2:$D$344, Filmes!$A$2:$A$344, "")</f>
        <v>262</v>
      </c>
      <c r="F772" s="7" t="s">
        <v>3196</v>
      </c>
      <c r="G772" s="17" t="s">
        <v>4130</v>
      </c>
      <c r="H772" s="17" t="s">
        <v>4131</v>
      </c>
      <c r="I772" s="19">
        <v>5.0</v>
      </c>
      <c r="J772" s="5"/>
      <c r="K772" s="5"/>
      <c r="L772" s="5"/>
      <c r="M772" s="5"/>
    </row>
    <row r="773" ht="15.75" customHeight="1">
      <c r="A773" s="14">
        <v>46303.0</v>
      </c>
      <c r="B773" s="5" t="s">
        <v>4124</v>
      </c>
      <c r="C773" s="15">
        <v>0.8958333333333334</v>
      </c>
      <c r="D773" s="5" t="s">
        <v>2820</v>
      </c>
      <c r="E773" s="16" t="str">
        <f t="array" ref="E773">_xlfn.XLOOKUP(F773, Filmes!$D$2:$D$344, Filmes!$A$2:$A$344, "")</f>
        <v>263</v>
      </c>
      <c r="F773" s="7" t="s">
        <v>3207</v>
      </c>
      <c r="G773" s="17" t="s">
        <v>4128</v>
      </c>
      <c r="H773" s="17" t="s">
        <v>4129</v>
      </c>
      <c r="I773" s="19">
        <v>3.0</v>
      </c>
      <c r="J773" s="10" t="s">
        <v>4172</v>
      </c>
      <c r="K773" s="5"/>
      <c r="L773" s="5" t="s">
        <v>65</v>
      </c>
      <c r="M773" s="5"/>
    </row>
    <row r="774" ht="15.75" customHeight="1">
      <c r="A774" s="14">
        <v>46304.0</v>
      </c>
      <c r="B774" s="5" t="s">
        <v>4135</v>
      </c>
      <c r="C774" s="15">
        <v>0.7916666666666666</v>
      </c>
      <c r="D774" s="5" t="s">
        <v>2820</v>
      </c>
      <c r="E774" s="16" t="str">
        <f t="array" ref="E774">_xlfn.XLOOKUP(F774, Filmes!$D$2:$D$344, Filmes!$A$2:$A$344, "")</f>
        <v>263</v>
      </c>
      <c r="F774" s="7" t="s">
        <v>3207</v>
      </c>
      <c r="G774" s="17" t="s">
        <v>4139</v>
      </c>
      <c r="H774" s="17" t="s">
        <v>4140</v>
      </c>
      <c r="I774" s="19">
        <v>5.0</v>
      </c>
      <c r="J774" s="10" t="s">
        <v>4172</v>
      </c>
      <c r="K774" s="5"/>
      <c r="L774" s="5"/>
      <c r="M774" s="5" t="s">
        <v>65</v>
      </c>
    </row>
    <row r="775" ht="15.75" customHeight="1">
      <c r="A775" s="14">
        <v>46305.0</v>
      </c>
      <c r="B775" s="5" t="s">
        <v>4127</v>
      </c>
      <c r="C775" s="15">
        <v>0.75</v>
      </c>
      <c r="D775" s="5" t="s">
        <v>2820</v>
      </c>
      <c r="E775" s="16" t="str">
        <f t="array" ref="E775">_xlfn.XLOOKUP(F775, Filmes!$D$2:$D$344, Filmes!$A$2:$A$344, "")</f>
        <v>263</v>
      </c>
      <c r="F775" s="7" t="s">
        <v>3207</v>
      </c>
      <c r="G775" s="17" t="s">
        <v>4133</v>
      </c>
      <c r="H775" s="17" t="s">
        <v>4134</v>
      </c>
      <c r="I775" s="19">
        <v>1.0</v>
      </c>
      <c r="J775" s="5" t="s">
        <v>4172</v>
      </c>
      <c r="K775" s="5"/>
      <c r="L775" s="5"/>
      <c r="M775" s="5"/>
    </row>
    <row r="776" ht="15.75" customHeight="1">
      <c r="A776" s="14">
        <v>46303.0</v>
      </c>
      <c r="B776" s="5" t="s">
        <v>4124</v>
      </c>
      <c r="C776" s="15">
        <v>0.8020833333333334</v>
      </c>
      <c r="D776" s="5" t="s">
        <v>2820</v>
      </c>
      <c r="E776" s="16" t="str">
        <f t="array" ref="E776">_xlfn.XLOOKUP(F776, Filmes!$D$2:$D$344, Filmes!$A$2:$A$344, "")</f>
        <v>264</v>
      </c>
      <c r="F776" s="7" t="s">
        <v>3217</v>
      </c>
      <c r="G776" s="17" t="s">
        <v>4128</v>
      </c>
      <c r="H776" s="17" t="s">
        <v>4129</v>
      </c>
      <c r="I776" s="19">
        <v>4.0</v>
      </c>
      <c r="J776" s="5"/>
      <c r="K776" s="5"/>
      <c r="L776" s="5" t="s">
        <v>65</v>
      </c>
      <c r="M776" s="5"/>
    </row>
    <row r="777" ht="15.75" customHeight="1">
      <c r="A777" s="14">
        <v>46303.0</v>
      </c>
      <c r="B777" s="5" t="s">
        <v>4124</v>
      </c>
      <c r="C777" s="15">
        <v>0.8020833333333334</v>
      </c>
      <c r="D777" s="5" t="s">
        <v>2820</v>
      </c>
      <c r="E777" s="16" t="str">
        <f t="array" ref="E777">_xlfn.XLOOKUP(F777, Filmes!$D$2:$D$344, Filmes!$A$2:$A$344, "")</f>
        <v>264</v>
      </c>
      <c r="F777" s="7" t="s">
        <v>3217</v>
      </c>
      <c r="G777" s="17" t="s">
        <v>4128</v>
      </c>
      <c r="H777" s="17" t="s">
        <v>4129</v>
      </c>
      <c r="I777" s="19">
        <v>5.0</v>
      </c>
      <c r="J777" s="5"/>
      <c r="K777" s="5"/>
      <c r="L777" s="5" t="s">
        <v>65</v>
      </c>
      <c r="M777" s="5"/>
    </row>
    <row r="778" ht="15.75" customHeight="1">
      <c r="A778" s="14">
        <v>46304.0</v>
      </c>
      <c r="B778" s="5" t="s">
        <v>4135</v>
      </c>
      <c r="C778" s="15">
        <v>0.5625</v>
      </c>
      <c r="D778" s="5" t="s">
        <v>2820</v>
      </c>
      <c r="E778" s="16" t="str">
        <f t="array" ref="E778">_xlfn.XLOOKUP(F778, Filmes!$D$2:$D$344, Filmes!$A$2:$A$344, "")</f>
        <v>264</v>
      </c>
      <c r="F778" s="7" t="s">
        <v>3217</v>
      </c>
      <c r="G778" s="17" t="s">
        <v>4122</v>
      </c>
      <c r="H778" s="17" t="s">
        <v>4123</v>
      </c>
      <c r="I778" s="19"/>
      <c r="J778" s="10"/>
      <c r="K778" s="5" t="s">
        <v>65</v>
      </c>
      <c r="L778" s="5"/>
      <c r="M778" s="5" t="s">
        <v>65</v>
      </c>
    </row>
    <row r="779" ht="15.75" customHeight="1">
      <c r="A779" s="14">
        <v>46305.0</v>
      </c>
      <c r="B779" s="5" t="s">
        <v>4127</v>
      </c>
      <c r="C779" s="15">
        <v>0.78125</v>
      </c>
      <c r="D779" s="5" t="s">
        <v>2820</v>
      </c>
      <c r="E779" s="16" t="str">
        <f t="array" ref="E779">_xlfn.XLOOKUP(F779, Filmes!$D$2:$D$344, Filmes!$A$2:$A$344, "")</f>
        <v>264</v>
      </c>
      <c r="F779" s="7" t="s">
        <v>3217</v>
      </c>
      <c r="G779" s="17" t="s">
        <v>4130</v>
      </c>
      <c r="H779" s="17" t="s">
        <v>4131</v>
      </c>
      <c r="I779" s="19">
        <v>5.0</v>
      </c>
      <c r="J779" s="5"/>
      <c r="K779" s="5"/>
      <c r="L779" s="5"/>
      <c r="M779" s="5"/>
    </row>
    <row r="780" ht="15.75" customHeight="1">
      <c r="A780" s="14">
        <v>46304.0</v>
      </c>
      <c r="B780" s="5" t="s">
        <v>4135</v>
      </c>
      <c r="C780" s="15">
        <v>0.8020833333333334</v>
      </c>
      <c r="D780" s="5" t="s">
        <v>2820</v>
      </c>
      <c r="E780" s="16" t="str">
        <f t="array" ref="E780">_xlfn.XLOOKUP(F780, Filmes!$D$2:$D$344, Filmes!$A$2:$A$344, "")</f>
        <v>265</v>
      </c>
      <c r="F780" s="7" t="s">
        <v>3227</v>
      </c>
      <c r="G780" s="17" t="s">
        <v>4128</v>
      </c>
      <c r="H780" s="17" t="s">
        <v>4129</v>
      </c>
      <c r="I780" s="19">
        <v>4.0</v>
      </c>
      <c r="J780" s="5"/>
      <c r="K780" s="5"/>
      <c r="L780" s="5" t="s">
        <v>65</v>
      </c>
      <c r="M780" s="5"/>
    </row>
    <row r="781" ht="15.75" customHeight="1">
      <c r="A781" s="14">
        <v>46304.0</v>
      </c>
      <c r="B781" s="5" t="s">
        <v>4135</v>
      </c>
      <c r="C781" s="15">
        <v>0.8020833333333334</v>
      </c>
      <c r="D781" s="5" t="s">
        <v>2820</v>
      </c>
      <c r="E781" s="16" t="str">
        <f t="array" ref="E781">_xlfn.XLOOKUP(F781, Filmes!$D$2:$D$344, Filmes!$A$2:$A$344, "")</f>
        <v>265</v>
      </c>
      <c r="F781" s="7" t="s">
        <v>3227</v>
      </c>
      <c r="G781" s="17" t="s">
        <v>4128</v>
      </c>
      <c r="H781" s="17" t="s">
        <v>4129</v>
      </c>
      <c r="I781" s="19">
        <v>5.0</v>
      </c>
      <c r="J781" s="5"/>
      <c r="K781" s="5"/>
      <c r="L781" s="5" t="s">
        <v>65</v>
      </c>
      <c r="M781" s="5"/>
    </row>
    <row r="782" ht="15.75" customHeight="1">
      <c r="A782" s="14">
        <v>46305.0</v>
      </c>
      <c r="B782" s="5" t="s">
        <v>4127</v>
      </c>
      <c r="C782" s="15">
        <v>0.5416666666666666</v>
      </c>
      <c r="D782" s="5" t="s">
        <v>2820</v>
      </c>
      <c r="E782" s="16" t="str">
        <f t="array" ref="E782">_xlfn.XLOOKUP(F782, Filmes!$D$2:$D$344, Filmes!$A$2:$A$344, "")</f>
        <v>265</v>
      </c>
      <c r="F782" s="7" t="s">
        <v>3227</v>
      </c>
      <c r="G782" s="17" t="s">
        <v>4122</v>
      </c>
      <c r="H782" s="17" t="s">
        <v>4123</v>
      </c>
      <c r="I782" s="19"/>
      <c r="J782" s="10"/>
      <c r="K782" s="5" t="s">
        <v>65</v>
      </c>
      <c r="L782" s="5"/>
      <c r="M782" s="5" t="s">
        <v>65</v>
      </c>
    </row>
    <row r="783" ht="15.75" customHeight="1">
      <c r="A783" s="14">
        <v>46305.0</v>
      </c>
      <c r="B783" s="5" t="s">
        <v>4127</v>
      </c>
      <c r="C783" s="15">
        <v>0.7916666666666666</v>
      </c>
      <c r="D783" s="5" t="s">
        <v>2820</v>
      </c>
      <c r="E783" s="16" t="str">
        <f t="array" ref="E783">_xlfn.XLOOKUP(F783, Filmes!$D$2:$D$344, Filmes!$A$2:$A$344, "")</f>
        <v>265</v>
      </c>
      <c r="F783" s="7" t="s">
        <v>3227</v>
      </c>
      <c r="G783" s="17" t="s">
        <v>4130</v>
      </c>
      <c r="H783" s="17" t="s">
        <v>4131</v>
      </c>
      <c r="I783" s="19">
        <v>1.0</v>
      </c>
      <c r="J783" s="5"/>
      <c r="K783" s="5"/>
      <c r="L783" s="5"/>
      <c r="M783" s="5"/>
    </row>
    <row r="784" ht="15.75" customHeight="1">
      <c r="A784" s="14">
        <v>46303.0</v>
      </c>
      <c r="B784" s="5" t="s">
        <v>4124</v>
      </c>
      <c r="C784" s="15">
        <v>0.78125</v>
      </c>
      <c r="D784" s="5" t="s">
        <v>2820</v>
      </c>
      <c r="E784" s="16" t="str">
        <f t="array" ref="E784">_xlfn.XLOOKUP(F784, Filmes!$D$2:$D$344, Filmes!$A$2:$A$344, "")</f>
        <v>266</v>
      </c>
      <c r="F784" s="7" t="s">
        <v>3237</v>
      </c>
      <c r="G784" s="17" t="s">
        <v>4152</v>
      </c>
      <c r="H784" s="17" t="s">
        <v>4153</v>
      </c>
      <c r="I784" s="18"/>
      <c r="J784" s="10"/>
      <c r="K784" s="5" t="s">
        <v>65</v>
      </c>
      <c r="L784" s="5" t="s">
        <v>65</v>
      </c>
      <c r="M784" s="5"/>
    </row>
    <row r="785" ht="15.75" customHeight="1">
      <c r="A785" s="14">
        <v>46303.0</v>
      </c>
      <c r="B785" s="5" t="s">
        <v>4124</v>
      </c>
      <c r="C785" s="15">
        <v>0.875</v>
      </c>
      <c r="D785" s="5" t="s">
        <v>2820</v>
      </c>
      <c r="E785" s="16" t="str">
        <f t="array" ref="E785">_xlfn.XLOOKUP(F785, Filmes!$D$2:$D$344, Filmes!$A$2:$A$344, "")</f>
        <v>267</v>
      </c>
      <c r="F785" s="7" t="s">
        <v>3249</v>
      </c>
      <c r="G785" s="17" t="s">
        <v>4152</v>
      </c>
      <c r="H785" s="17" t="s">
        <v>4153</v>
      </c>
      <c r="I785" s="19"/>
      <c r="J785" s="10" t="s">
        <v>4173</v>
      </c>
      <c r="K785" s="5" t="s">
        <v>65</v>
      </c>
      <c r="L785" s="5" t="s">
        <v>65</v>
      </c>
      <c r="M785" s="5"/>
    </row>
    <row r="786" ht="15.75" customHeight="1">
      <c r="A786" s="14">
        <v>46304.0</v>
      </c>
      <c r="B786" s="5" t="s">
        <v>4135</v>
      </c>
      <c r="C786" s="15">
        <v>0.5833333333333334</v>
      </c>
      <c r="D786" s="5" t="s">
        <v>2820</v>
      </c>
      <c r="E786" s="16" t="str">
        <f t="array" ref="E786">_xlfn.XLOOKUP(F786, Filmes!$D$2:$D$344, Filmes!$A$2:$A$344, "")</f>
        <v>267</v>
      </c>
      <c r="F786" s="7" t="s">
        <v>3249</v>
      </c>
      <c r="G786" s="17" t="s">
        <v>4147</v>
      </c>
      <c r="H786" s="17" t="s">
        <v>4148</v>
      </c>
      <c r="I786" s="19"/>
      <c r="J786" s="10" t="s">
        <v>4174</v>
      </c>
      <c r="K786" s="5" t="s">
        <v>65</v>
      </c>
      <c r="L786" s="5"/>
      <c r="M786" s="5" t="s">
        <v>65</v>
      </c>
    </row>
    <row r="787" ht="15.75" customHeight="1">
      <c r="A787" s="14">
        <v>46304.0</v>
      </c>
      <c r="B787" s="5" t="s">
        <v>4135</v>
      </c>
      <c r="C787" s="15">
        <v>0.5833333333333334</v>
      </c>
      <c r="D787" s="5" t="s">
        <v>2820</v>
      </c>
      <c r="E787" s="16" t="str">
        <f t="array" ref="E787">_xlfn.XLOOKUP(F787, Filmes!$D$2:$D$344, Filmes!$A$2:$A$344, "")</f>
        <v>267</v>
      </c>
      <c r="F787" s="7" t="s">
        <v>3249</v>
      </c>
      <c r="G787" s="17" t="s">
        <v>4139</v>
      </c>
      <c r="H787" s="17" t="s">
        <v>4140</v>
      </c>
      <c r="I787" s="19">
        <v>5.0</v>
      </c>
      <c r="J787" s="5" t="s">
        <v>4173</v>
      </c>
      <c r="K787" s="5"/>
      <c r="L787" s="5"/>
      <c r="M787" s="5"/>
    </row>
    <row r="788" ht="15.75" customHeight="1">
      <c r="A788" s="14">
        <v>46304.0</v>
      </c>
      <c r="B788" s="5" t="s">
        <v>4135</v>
      </c>
      <c r="C788" s="15">
        <v>0.5833333333333334</v>
      </c>
      <c r="D788" s="5" t="s">
        <v>2820</v>
      </c>
      <c r="E788" s="16" t="str">
        <f t="array" ref="E788">_xlfn.XLOOKUP(F788, Filmes!$D$2:$D$344, Filmes!$A$2:$A$344, "")</f>
        <v>267</v>
      </c>
      <c r="F788" s="7" t="s">
        <v>3249</v>
      </c>
      <c r="G788" s="17" t="s">
        <v>4137</v>
      </c>
      <c r="H788" s="17" t="s">
        <v>4138</v>
      </c>
      <c r="I788" s="19">
        <v>1.0</v>
      </c>
      <c r="J788" s="5" t="s">
        <v>4173</v>
      </c>
      <c r="K788" s="5"/>
      <c r="L788" s="5"/>
      <c r="M788" s="5"/>
    </row>
    <row r="789" ht="15.75" customHeight="1">
      <c r="A789" s="14">
        <v>46301.0</v>
      </c>
      <c r="B789" s="5" t="s">
        <v>4121</v>
      </c>
      <c r="C789" s="15">
        <v>0.8854166666666666</v>
      </c>
      <c r="D789" s="5" t="s">
        <v>2820</v>
      </c>
      <c r="E789" s="16" t="str">
        <f t="array" ref="E789">_xlfn.XLOOKUP(F789, Filmes!$D$2:$D$344, Filmes!$A$2:$A$344, "")</f>
        <v>268</v>
      </c>
      <c r="F789" s="7" t="s">
        <v>3260</v>
      </c>
      <c r="G789" s="17" t="s">
        <v>4152</v>
      </c>
      <c r="H789" s="17" t="s">
        <v>4153</v>
      </c>
      <c r="I789" s="19"/>
      <c r="J789" s="10"/>
      <c r="K789" s="5" t="s">
        <v>65</v>
      </c>
      <c r="L789" s="5" t="s">
        <v>65</v>
      </c>
      <c r="M789" s="5"/>
    </row>
    <row r="790" ht="15.75" customHeight="1">
      <c r="A790" s="14">
        <v>46303.0</v>
      </c>
      <c r="B790" s="5" t="s">
        <v>4124</v>
      </c>
      <c r="C790" s="15">
        <v>0.6875</v>
      </c>
      <c r="D790" s="5" t="s">
        <v>2820</v>
      </c>
      <c r="E790" s="16" t="str">
        <f t="array" ref="E790">_xlfn.XLOOKUP(F790, Filmes!$D$2:$D$344, Filmes!$A$2:$A$344, "")</f>
        <v>268</v>
      </c>
      <c r="F790" s="7" t="s">
        <v>3260</v>
      </c>
      <c r="G790" s="17" t="s">
        <v>4125</v>
      </c>
      <c r="H790" s="17" t="s">
        <v>4126</v>
      </c>
      <c r="I790" s="19">
        <v>2.0</v>
      </c>
      <c r="J790" s="5"/>
      <c r="K790" s="5"/>
      <c r="L790" s="5"/>
      <c r="M790" s="5"/>
    </row>
    <row r="791" ht="15.75" customHeight="1">
      <c r="A791" s="14">
        <v>46304.0</v>
      </c>
      <c r="B791" s="5" t="s">
        <v>4135</v>
      </c>
      <c r="C791" s="15">
        <v>0.6770833333333334</v>
      </c>
      <c r="D791" s="5" t="s">
        <v>2820</v>
      </c>
      <c r="E791" s="16" t="str">
        <f t="array" ref="E791">_xlfn.XLOOKUP(F791, Filmes!$D$2:$D$344, Filmes!$A$2:$A$344, "")</f>
        <v>268</v>
      </c>
      <c r="F791" s="7" t="s">
        <v>3260</v>
      </c>
      <c r="G791" s="17" t="s">
        <v>4128</v>
      </c>
      <c r="H791" s="17" t="s">
        <v>4129</v>
      </c>
      <c r="I791" s="19">
        <v>3.0</v>
      </c>
      <c r="J791" s="5"/>
      <c r="K791" s="5"/>
      <c r="L791" s="5"/>
      <c r="M791" s="5"/>
    </row>
    <row r="792" ht="15.75" customHeight="1">
      <c r="A792" s="14">
        <v>46305.0</v>
      </c>
      <c r="B792" s="5" t="s">
        <v>4127</v>
      </c>
      <c r="C792" s="15">
        <v>0.7916666666666666</v>
      </c>
      <c r="D792" s="5" t="s">
        <v>2820</v>
      </c>
      <c r="E792" s="16" t="str">
        <f t="array" ref="E792">_xlfn.XLOOKUP(F792, Filmes!$D$2:$D$344, Filmes!$A$2:$A$344, "")</f>
        <v>268</v>
      </c>
      <c r="F792" s="7" t="s">
        <v>3260</v>
      </c>
      <c r="G792" s="17" t="s">
        <v>4137</v>
      </c>
      <c r="H792" s="17" t="s">
        <v>4138</v>
      </c>
      <c r="I792" s="19">
        <v>1.0</v>
      </c>
      <c r="J792" s="5"/>
      <c r="K792" s="5"/>
      <c r="L792" s="5"/>
      <c r="M792" s="5"/>
    </row>
    <row r="793" ht="15.75" customHeight="1">
      <c r="A793" s="14">
        <v>46306.0</v>
      </c>
      <c r="B793" s="5" t="s">
        <v>4136</v>
      </c>
      <c r="C793" s="15">
        <v>0.5729166666666666</v>
      </c>
      <c r="D793" s="5" t="s">
        <v>2820</v>
      </c>
      <c r="E793" s="16" t="str">
        <f t="array" ref="E793">_xlfn.XLOOKUP(F793, Filmes!$D$2:$D$344, Filmes!$A$2:$A$344, "")</f>
        <v>268</v>
      </c>
      <c r="F793" s="7" t="s">
        <v>3260</v>
      </c>
      <c r="G793" s="17" t="s">
        <v>4130</v>
      </c>
      <c r="H793" s="17" t="s">
        <v>4131</v>
      </c>
      <c r="I793" s="19">
        <v>5.0</v>
      </c>
      <c r="J793" s="5"/>
      <c r="K793" s="5"/>
      <c r="L793" s="5"/>
      <c r="M793" s="5"/>
    </row>
    <row r="794" ht="15.75" customHeight="1">
      <c r="A794" s="14">
        <v>46309.0</v>
      </c>
      <c r="B794" s="5" t="s">
        <v>4143</v>
      </c>
      <c r="C794" s="15">
        <v>0.7708333333333334</v>
      </c>
      <c r="D794" s="5" t="s">
        <v>2820</v>
      </c>
      <c r="E794" s="16" t="str">
        <f t="array" ref="E794">_xlfn.XLOOKUP(F794, Filmes!$D$2:$D$344, Filmes!$A$2:$A$344, "")</f>
        <v>268</v>
      </c>
      <c r="F794" s="7" t="s">
        <v>3260</v>
      </c>
      <c r="G794" s="17" t="s">
        <v>4139</v>
      </c>
      <c r="H794" s="17" t="s">
        <v>4140</v>
      </c>
      <c r="I794" s="19">
        <v>3.0</v>
      </c>
      <c r="J794" s="5"/>
      <c r="K794" s="5"/>
      <c r="L794" s="5"/>
      <c r="M794" s="5"/>
    </row>
    <row r="795" ht="15.75" customHeight="1">
      <c r="A795" s="14">
        <v>46303.0</v>
      </c>
      <c r="B795" s="5" t="s">
        <v>4124</v>
      </c>
      <c r="C795" s="15">
        <v>0.8020833333333334</v>
      </c>
      <c r="D795" s="5" t="s">
        <v>2820</v>
      </c>
      <c r="E795" s="16" t="str">
        <f t="array" ref="E795">_xlfn.XLOOKUP(F795, Filmes!$D$2:$D$344, Filmes!$A$2:$A$344, "")</f>
        <v>269</v>
      </c>
      <c r="F795" s="7" t="s">
        <v>3274</v>
      </c>
      <c r="G795" s="17" t="s">
        <v>4122</v>
      </c>
      <c r="H795" s="17" t="s">
        <v>4123</v>
      </c>
      <c r="I795" s="19"/>
      <c r="J795" s="5"/>
      <c r="K795" s="5"/>
      <c r="L795" s="5" t="s">
        <v>65</v>
      </c>
      <c r="M795" s="5"/>
    </row>
    <row r="796" ht="15.75" customHeight="1">
      <c r="A796" s="14">
        <v>46304.0</v>
      </c>
      <c r="B796" s="5" t="s">
        <v>4135</v>
      </c>
      <c r="C796" s="15">
        <v>0.7847222222222222</v>
      </c>
      <c r="D796" s="5" t="s">
        <v>2820</v>
      </c>
      <c r="E796" s="16" t="str">
        <f t="array" ref="E796">_xlfn.XLOOKUP(F796, Filmes!$D$2:$D$344, Filmes!$A$2:$A$344, "")</f>
        <v>269</v>
      </c>
      <c r="F796" s="7" t="s">
        <v>3274</v>
      </c>
      <c r="G796" s="17" t="s">
        <v>4130</v>
      </c>
      <c r="H796" s="17" t="s">
        <v>4131</v>
      </c>
      <c r="I796" s="19">
        <v>6.0</v>
      </c>
      <c r="J796" s="5"/>
      <c r="K796" s="5"/>
      <c r="L796" s="5"/>
      <c r="M796" s="5"/>
    </row>
    <row r="797" ht="15.75" customHeight="1">
      <c r="A797" s="14">
        <v>46301.0</v>
      </c>
      <c r="B797" s="5" t="s">
        <v>4121</v>
      </c>
      <c r="C797" s="15">
        <v>0.8020833333333334</v>
      </c>
      <c r="D797" s="5" t="s">
        <v>2820</v>
      </c>
      <c r="E797" s="16" t="str">
        <f t="array" ref="E797">_xlfn.XLOOKUP(F797, Filmes!$D$2:$D$344, Filmes!$A$2:$A$344, "")</f>
        <v>270</v>
      </c>
      <c r="F797" s="7" t="s">
        <v>3286</v>
      </c>
      <c r="G797" s="17" t="s">
        <v>4128</v>
      </c>
      <c r="H797" s="17" t="s">
        <v>4129</v>
      </c>
      <c r="I797" s="19">
        <v>4.0</v>
      </c>
      <c r="J797" s="10" t="s">
        <v>4175</v>
      </c>
      <c r="K797" s="5"/>
      <c r="L797" s="5" t="s">
        <v>65</v>
      </c>
      <c r="M797" s="5"/>
    </row>
    <row r="798" ht="15.75" customHeight="1">
      <c r="A798" s="14">
        <v>46301.0</v>
      </c>
      <c r="B798" s="5" t="s">
        <v>4121</v>
      </c>
      <c r="C798" s="15">
        <v>0.8020833333333334</v>
      </c>
      <c r="D798" s="5" t="s">
        <v>2820</v>
      </c>
      <c r="E798" s="16" t="str">
        <f t="array" ref="E798">_xlfn.XLOOKUP(F798, Filmes!$D$2:$D$344, Filmes!$A$2:$A$344, "")</f>
        <v>270</v>
      </c>
      <c r="F798" s="7" t="s">
        <v>3286</v>
      </c>
      <c r="G798" s="17" t="s">
        <v>4128</v>
      </c>
      <c r="H798" s="17" t="s">
        <v>4129</v>
      </c>
      <c r="I798" s="19">
        <v>5.0</v>
      </c>
      <c r="J798" s="10" t="s">
        <v>4175</v>
      </c>
      <c r="K798" s="5"/>
      <c r="L798" s="5" t="s">
        <v>65</v>
      </c>
      <c r="M798" s="5"/>
    </row>
    <row r="799" ht="15.75" customHeight="1">
      <c r="A799" s="14">
        <v>46302.0</v>
      </c>
      <c r="B799" s="5" t="s">
        <v>4143</v>
      </c>
      <c r="C799" s="15">
        <v>0.5625</v>
      </c>
      <c r="D799" s="5" t="s">
        <v>2820</v>
      </c>
      <c r="E799" s="16" t="str">
        <f t="array" ref="E799">_xlfn.XLOOKUP(F799, Filmes!$D$2:$D$344, Filmes!$A$2:$A$344, "")</f>
        <v>270</v>
      </c>
      <c r="F799" s="7" t="s">
        <v>3286</v>
      </c>
      <c r="G799" s="17" t="s">
        <v>4122</v>
      </c>
      <c r="H799" s="17" t="s">
        <v>4123</v>
      </c>
      <c r="I799" s="19"/>
      <c r="J799" s="10" t="s">
        <v>4175</v>
      </c>
      <c r="K799" s="5" t="s">
        <v>65</v>
      </c>
      <c r="L799" s="5"/>
      <c r="M799" s="5" t="s">
        <v>65</v>
      </c>
    </row>
    <row r="800" ht="15.75" customHeight="1">
      <c r="A800" s="14">
        <v>46303.0</v>
      </c>
      <c r="B800" s="5" t="s">
        <v>4124</v>
      </c>
      <c r="C800" s="15">
        <v>0.78125</v>
      </c>
      <c r="D800" s="5" t="s">
        <v>2820</v>
      </c>
      <c r="E800" s="16" t="str">
        <f t="array" ref="E800">_xlfn.XLOOKUP(F800, Filmes!$D$2:$D$344, Filmes!$A$2:$A$344, "")</f>
        <v>270</v>
      </c>
      <c r="F800" s="7" t="s">
        <v>3286</v>
      </c>
      <c r="G800" s="17" t="s">
        <v>4130</v>
      </c>
      <c r="H800" s="17" t="s">
        <v>4131</v>
      </c>
      <c r="I800" s="19">
        <v>5.0</v>
      </c>
      <c r="J800" s="5" t="s">
        <v>4175</v>
      </c>
      <c r="K800" s="5"/>
      <c r="L800" s="5"/>
      <c r="M800" s="5"/>
    </row>
    <row r="801" ht="15.75" customHeight="1">
      <c r="A801" s="14">
        <v>46298.0</v>
      </c>
      <c r="B801" s="5" t="s">
        <v>4127</v>
      </c>
      <c r="C801" s="15">
        <v>0.6666666666666666</v>
      </c>
      <c r="D801" s="5" t="s">
        <v>2820</v>
      </c>
      <c r="E801" s="16" t="str">
        <f t="array" ref="E801">_xlfn.XLOOKUP(F801, Filmes!$D$2:$D$344, Filmes!$A$2:$A$344, "")</f>
        <v>271</v>
      </c>
      <c r="F801" s="7" t="s">
        <v>3295</v>
      </c>
      <c r="G801" s="17" t="s">
        <v>4128</v>
      </c>
      <c r="H801" s="17" t="s">
        <v>4129</v>
      </c>
      <c r="I801" s="19">
        <v>3.0</v>
      </c>
      <c r="J801" s="5"/>
      <c r="K801" s="5"/>
      <c r="L801" s="5" t="s">
        <v>65</v>
      </c>
      <c r="M801" s="5"/>
    </row>
    <row r="802" ht="15.75" customHeight="1">
      <c r="A802" s="14">
        <v>46300.0</v>
      </c>
      <c r="B802" s="5" t="s">
        <v>4132</v>
      </c>
      <c r="C802" s="15">
        <v>0.6666666666666666</v>
      </c>
      <c r="D802" s="5" t="s">
        <v>2820</v>
      </c>
      <c r="E802" s="16" t="str">
        <f t="array" ref="E802">_xlfn.XLOOKUP(F802, Filmes!$D$2:$D$344, Filmes!$A$2:$A$344, "")</f>
        <v>271</v>
      </c>
      <c r="F802" s="7" t="s">
        <v>3295</v>
      </c>
      <c r="G802" s="17" t="s">
        <v>4141</v>
      </c>
      <c r="H802" s="17" t="s">
        <v>4142</v>
      </c>
      <c r="I802" s="19"/>
      <c r="J802" s="5"/>
      <c r="K802" s="5"/>
      <c r="L802" s="5"/>
      <c r="M802" s="5"/>
    </row>
    <row r="803" ht="15.75" customHeight="1">
      <c r="A803" s="14">
        <v>46301.0</v>
      </c>
      <c r="B803" s="5" t="s">
        <v>4121</v>
      </c>
      <c r="C803" s="15">
        <v>0.6770833333333334</v>
      </c>
      <c r="D803" s="5" t="s">
        <v>2820</v>
      </c>
      <c r="E803" s="16" t="str">
        <f t="array" ref="E803">_xlfn.XLOOKUP(F803, Filmes!$D$2:$D$344, Filmes!$A$2:$A$344, "")</f>
        <v>271</v>
      </c>
      <c r="F803" s="7" t="s">
        <v>3295</v>
      </c>
      <c r="G803" s="17" t="s">
        <v>4139</v>
      </c>
      <c r="H803" s="17" t="s">
        <v>4140</v>
      </c>
      <c r="I803" s="19">
        <v>3.0</v>
      </c>
      <c r="J803" s="5"/>
      <c r="K803" s="5"/>
      <c r="L803" s="5"/>
      <c r="M803" s="5"/>
    </row>
    <row r="804" ht="15.75" customHeight="1">
      <c r="A804" s="14">
        <v>46299.0</v>
      </c>
      <c r="B804" s="5" t="s">
        <v>4136</v>
      </c>
      <c r="C804" s="15">
        <v>0.78125</v>
      </c>
      <c r="D804" s="5" t="s">
        <v>2820</v>
      </c>
      <c r="E804" s="16" t="str">
        <f t="array" ref="E804">_xlfn.XLOOKUP(F804, Filmes!$D$2:$D$344, Filmes!$A$2:$A$344, "")</f>
        <v>272</v>
      </c>
      <c r="F804" s="7" t="s">
        <v>3304</v>
      </c>
      <c r="G804" s="17" t="s">
        <v>4128</v>
      </c>
      <c r="H804" s="17" t="s">
        <v>4129</v>
      </c>
      <c r="I804" s="19">
        <v>1.0</v>
      </c>
      <c r="J804" s="10" t="s">
        <v>4176</v>
      </c>
      <c r="K804" s="5"/>
      <c r="L804" s="5" t="s">
        <v>65</v>
      </c>
      <c r="M804" s="5"/>
    </row>
    <row r="805" ht="15.75" customHeight="1">
      <c r="A805" s="14">
        <v>46299.0</v>
      </c>
      <c r="B805" s="5" t="s">
        <v>4136</v>
      </c>
      <c r="C805" s="15">
        <v>0.78125</v>
      </c>
      <c r="D805" s="5" t="s">
        <v>2820</v>
      </c>
      <c r="E805" s="16" t="str">
        <f t="array" ref="E805">_xlfn.XLOOKUP(F805, Filmes!$D$2:$D$344, Filmes!$A$2:$A$344, "")</f>
        <v>272</v>
      </c>
      <c r="F805" s="7" t="s">
        <v>3304</v>
      </c>
      <c r="G805" s="17" t="s">
        <v>4128</v>
      </c>
      <c r="H805" s="17" t="s">
        <v>4129</v>
      </c>
      <c r="I805" s="19">
        <v>2.0</v>
      </c>
      <c r="J805" s="10" t="s">
        <v>4176</v>
      </c>
      <c r="K805" s="5"/>
      <c r="L805" s="5" t="s">
        <v>65</v>
      </c>
      <c r="M805" s="5"/>
    </row>
    <row r="806" ht="15.75" customHeight="1">
      <c r="A806" s="14">
        <v>46300.0</v>
      </c>
      <c r="B806" s="5" t="s">
        <v>4132</v>
      </c>
      <c r="C806" s="15">
        <v>0.6770833333333334</v>
      </c>
      <c r="D806" s="5" t="s">
        <v>2820</v>
      </c>
      <c r="E806" s="16" t="str">
        <f t="array" ref="E806">_xlfn.XLOOKUP(F806, Filmes!$D$2:$D$344, Filmes!$A$2:$A$344, "")</f>
        <v>272</v>
      </c>
      <c r="F806" s="7" t="s">
        <v>3304</v>
      </c>
      <c r="G806" s="17" t="s">
        <v>4139</v>
      </c>
      <c r="H806" s="17" t="s">
        <v>4140</v>
      </c>
      <c r="I806" s="19">
        <v>5.0</v>
      </c>
      <c r="J806" s="10" t="s">
        <v>4176</v>
      </c>
      <c r="K806" s="5"/>
      <c r="L806" s="5"/>
      <c r="M806" s="5" t="s">
        <v>65</v>
      </c>
    </row>
    <row r="807" ht="15.75" customHeight="1">
      <c r="A807" s="14">
        <v>46301.0</v>
      </c>
      <c r="B807" s="5" t="s">
        <v>4121</v>
      </c>
      <c r="C807" s="15">
        <v>0.5729166666666666</v>
      </c>
      <c r="D807" s="5" t="s">
        <v>2820</v>
      </c>
      <c r="E807" s="16" t="str">
        <f t="array" ref="E807">_xlfn.XLOOKUP(F807, Filmes!$D$2:$D$344, Filmes!$A$2:$A$344, "")</f>
        <v>272</v>
      </c>
      <c r="F807" s="7" t="s">
        <v>3304</v>
      </c>
      <c r="G807" s="17" t="s">
        <v>4130</v>
      </c>
      <c r="H807" s="17" t="s">
        <v>4131</v>
      </c>
      <c r="I807" s="19">
        <v>5.0</v>
      </c>
      <c r="J807" s="5" t="s">
        <v>4176</v>
      </c>
      <c r="K807" s="5"/>
      <c r="L807" s="5"/>
      <c r="M807" s="5"/>
    </row>
    <row r="808" ht="15.75" customHeight="1">
      <c r="A808" s="14">
        <v>46299.0</v>
      </c>
      <c r="B808" s="5" t="s">
        <v>4136</v>
      </c>
      <c r="C808" s="15">
        <v>0.8020833333333334</v>
      </c>
      <c r="D808" s="5" t="s">
        <v>2820</v>
      </c>
      <c r="E808" s="16" t="str">
        <f t="array" ref="E808">_xlfn.XLOOKUP(F808, Filmes!$D$2:$D$344, Filmes!$A$2:$A$344, "")</f>
        <v>273</v>
      </c>
      <c r="F808" s="7" t="s">
        <v>3315</v>
      </c>
      <c r="G808" s="17" t="s">
        <v>4128</v>
      </c>
      <c r="H808" s="17" t="s">
        <v>4129</v>
      </c>
      <c r="I808" s="19">
        <v>4.0</v>
      </c>
      <c r="J808" s="10" t="s">
        <v>4177</v>
      </c>
      <c r="K808" s="5"/>
      <c r="L808" s="5" t="s">
        <v>65</v>
      </c>
      <c r="M808" s="5"/>
    </row>
    <row r="809" ht="15.75" customHeight="1">
      <c r="A809" s="14">
        <v>46299.0</v>
      </c>
      <c r="B809" s="5" t="s">
        <v>4136</v>
      </c>
      <c r="C809" s="15">
        <v>0.8020833333333334</v>
      </c>
      <c r="D809" s="5" t="s">
        <v>2820</v>
      </c>
      <c r="E809" s="16" t="str">
        <f t="array" ref="E809">_xlfn.XLOOKUP(F809, Filmes!$D$2:$D$344, Filmes!$A$2:$A$344, "")</f>
        <v>273</v>
      </c>
      <c r="F809" s="7" t="s">
        <v>3315</v>
      </c>
      <c r="G809" s="17" t="s">
        <v>4128</v>
      </c>
      <c r="H809" s="17" t="s">
        <v>4129</v>
      </c>
      <c r="I809" s="19">
        <v>5.0</v>
      </c>
      <c r="J809" s="10" t="s">
        <v>4177</v>
      </c>
      <c r="K809" s="5"/>
      <c r="L809" s="5" t="s">
        <v>65</v>
      </c>
      <c r="M809" s="5"/>
    </row>
    <row r="810" ht="15.75" customHeight="1">
      <c r="A810" s="14">
        <v>46300.0</v>
      </c>
      <c r="B810" s="5" t="s">
        <v>4132</v>
      </c>
      <c r="C810" s="15">
        <v>0.5625</v>
      </c>
      <c r="D810" s="5" t="s">
        <v>2820</v>
      </c>
      <c r="E810" s="16" t="str">
        <f t="array" ref="E810">_xlfn.XLOOKUP(F810, Filmes!$D$2:$D$344, Filmes!$A$2:$A$344, "")</f>
        <v>273</v>
      </c>
      <c r="F810" s="7" t="s">
        <v>3315</v>
      </c>
      <c r="G810" s="17" t="s">
        <v>4122</v>
      </c>
      <c r="H810" s="17" t="s">
        <v>4123</v>
      </c>
      <c r="I810" s="19"/>
      <c r="J810" s="10" t="s">
        <v>4177</v>
      </c>
      <c r="K810" s="5" t="s">
        <v>65</v>
      </c>
      <c r="L810" s="5"/>
      <c r="M810" s="5" t="s">
        <v>65</v>
      </c>
    </row>
    <row r="811" ht="15.75" customHeight="1">
      <c r="A811" s="14">
        <v>46301.0</v>
      </c>
      <c r="B811" s="5" t="s">
        <v>4121</v>
      </c>
      <c r="C811" s="15">
        <v>0.78125</v>
      </c>
      <c r="D811" s="5" t="s">
        <v>2820</v>
      </c>
      <c r="E811" s="16" t="str">
        <f t="array" ref="E811">_xlfn.XLOOKUP(F811, Filmes!$D$2:$D$344, Filmes!$A$2:$A$344, "")</f>
        <v>273</v>
      </c>
      <c r="F811" s="7" t="s">
        <v>3315</v>
      </c>
      <c r="G811" s="17" t="s">
        <v>4130</v>
      </c>
      <c r="H811" s="17" t="s">
        <v>4131</v>
      </c>
      <c r="I811" s="19">
        <v>5.0</v>
      </c>
      <c r="J811" s="5" t="s">
        <v>4177</v>
      </c>
      <c r="K811" s="5"/>
      <c r="L811" s="5"/>
      <c r="M811" s="5"/>
    </row>
    <row r="812" ht="15.75" customHeight="1">
      <c r="A812" s="14">
        <v>46300.0</v>
      </c>
      <c r="B812" s="5" t="s">
        <v>4132</v>
      </c>
      <c r="C812" s="15">
        <v>0.8020833333333334</v>
      </c>
      <c r="D812" s="5" t="s">
        <v>2820</v>
      </c>
      <c r="E812" s="16" t="str">
        <f t="array" ref="E812">_xlfn.XLOOKUP(F812, Filmes!$D$2:$D$344, Filmes!$A$2:$A$344, "")</f>
        <v>274</v>
      </c>
      <c r="F812" s="7" t="s">
        <v>3326</v>
      </c>
      <c r="G812" s="17" t="s">
        <v>4128</v>
      </c>
      <c r="H812" s="17" t="s">
        <v>4129</v>
      </c>
      <c r="I812" s="19">
        <v>4.0</v>
      </c>
      <c r="J812" s="5"/>
      <c r="K812" s="5"/>
      <c r="L812" s="5" t="s">
        <v>65</v>
      </c>
      <c r="M812" s="5"/>
    </row>
    <row r="813" ht="15.75" customHeight="1">
      <c r="A813" s="14">
        <v>46300.0</v>
      </c>
      <c r="B813" s="5" t="s">
        <v>4132</v>
      </c>
      <c r="C813" s="15">
        <v>0.8020833333333334</v>
      </c>
      <c r="D813" s="5" t="s">
        <v>2820</v>
      </c>
      <c r="E813" s="16" t="str">
        <f t="array" ref="E813">_xlfn.XLOOKUP(F813, Filmes!$D$2:$D$344, Filmes!$A$2:$A$344, "")</f>
        <v>274</v>
      </c>
      <c r="F813" s="7" t="s">
        <v>3326</v>
      </c>
      <c r="G813" s="17" t="s">
        <v>4128</v>
      </c>
      <c r="H813" s="17" t="s">
        <v>4129</v>
      </c>
      <c r="I813" s="19">
        <v>5.0</v>
      </c>
      <c r="J813" s="5"/>
      <c r="K813" s="5"/>
      <c r="L813" s="5" t="s">
        <v>65</v>
      </c>
      <c r="M813" s="5"/>
    </row>
    <row r="814" ht="15.75" customHeight="1">
      <c r="A814" s="14">
        <v>46301.0</v>
      </c>
      <c r="B814" s="5" t="s">
        <v>4121</v>
      </c>
      <c r="C814" s="15">
        <v>0.5625</v>
      </c>
      <c r="D814" s="5" t="s">
        <v>2820</v>
      </c>
      <c r="E814" s="16" t="str">
        <f t="array" ref="E814">_xlfn.XLOOKUP(F814, Filmes!$D$2:$D$344, Filmes!$A$2:$A$344, "")</f>
        <v>274</v>
      </c>
      <c r="F814" s="7" t="s">
        <v>3326</v>
      </c>
      <c r="G814" s="17" t="s">
        <v>4122</v>
      </c>
      <c r="H814" s="17" t="s">
        <v>4123</v>
      </c>
      <c r="I814" s="19"/>
      <c r="J814" s="10"/>
      <c r="K814" s="5" t="s">
        <v>65</v>
      </c>
      <c r="L814" s="5"/>
      <c r="M814" s="5" t="s">
        <v>65</v>
      </c>
    </row>
    <row r="815" ht="15.75" customHeight="1">
      <c r="A815" s="14">
        <v>46302.0</v>
      </c>
      <c r="B815" s="5" t="s">
        <v>4143</v>
      </c>
      <c r="C815" s="15">
        <v>0.78125</v>
      </c>
      <c r="D815" s="5" t="s">
        <v>2820</v>
      </c>
      <c r="E815" s="16" t="str">
        <f t="array" ref="E815">_xlfn.XLOOKUP(F815, Filmes!$D$2:$D$344, Filmes!$A$2:$A$344, "")</f>
        <v>274</v>
      </c>
      <c r="F815" s="7" t="s">
        <v>3326</v>
      </c>
      <c r="G815" s="17" t="s">
        <v>4130</v>
      </c>
      <c r="H815" s="17" t="s">
        <v>4131</v>
      </c>
      <c r="I815" s="19">
        <v>5.0</v>
      </c>
      <c r="J815" s="5"/>
      <c r="K815" s="5"/>
      <c r="L815" s="5"/>
      <c r="M815" s="5"/>
    </row>
    <row r="816" ht="15.75" customHeight="1">
      <c r="A816" s="14">
        <v>46297.0</v>
      </c>
      <c r="B816" s="5" t="s">
        <v>4135</v>
      </c>
      <c r="C816" s="15">
        <v>0.78125</v>
      </c>
      <c r="D816" s="5" t="s">
        <v>2820</v>
      </c>
      <c r="E816" s="16" t="str">
        <f t="array" ref="E816">_xlfn.XLOOKUP(F816, Filmes!$D$2:$D$344, Filmes!$A$2:$A$344, "")</f>
        <v>275</v>
      </c>
      <c r="F816" s="7" t="s">
        <v>3338</v>
      </c>
      <c r="G816" s="17" t="s">
        <v>4128</v>
      </c>
      <c r="H816" s="17" t="s">
        <v>4129</v>
      </c>
      <c r="I816" s="19">
        <v>1.0</v>
      </c>
      <c r="J816" s="10" t="s">
        <v>4178</v>
      </c>
      <c r="K816" s="5"/>
      <c r="L816" s="5" t="s">
        <v>65</v>
      </c>
      <c r="M816" s="5"/>
    </row>
    <row r="817" ht="15.75" customHeight="1">
      <c r="A817" s="14">
        <v>46297.0</v>
      </c>
      <c r="B817" s="5" t="s">
        <v>4135</v>
      </c>
      <c r="C817" s="15">
        <v>0.78125</v>
      </c>
      <c r="D817" s="5" t="s">
        <v>2820</v>
      </c>
      <c r="E817" s="16" t="str">
        <f t="array" ref="E817">_xlfn.XLOOKUP(F817, Filmes!$D$2:$D$344, Filmes!$A$2:$A$344, "")</f>
        <v>275</v>
      </c>
      <c r="F817" s="7" t="s">
        <v>3338</v>
      </c>
      <c r="G817" s="17" t="s">
        <v>4128</v>
      </c>
      <c r="H817" s="17" t="s">
        <v>4129</v>
      </c>
      <c r="I817" s="19">
        <v>2.0</v>
      </c>
      <c r="J817" s="10" t="s">
        <v>4178</v>
      </c>
      <c r="K817" s="5"/>
      <c r="L817" s="5" t="s">
        <v>65</v>
      </c>
      <c r="M817" s="5"/>
    </row>
    <row r="818" ht="15.75" customHeight="1">
      <c r="A818" s="14">
        <v>46298.0</v>
      </c>
      <c r="B818" s="5" t="s">
        <v>4127</v>
      </c>
      <c r="C818" s="15">
        <v>0.6770833333333334</v>
      </c>
      <c r="D818" s="5" t="s">
        <v>2820</v>
      </c>
      <c r="E818" s="16" t="str">
        <f t="array" ref="E818">_xlfn.XLOOKUP(F818, Filmes!$D$2:$D$344, Filmes!$A$2:$A$344, "")</f>
        <v>275</v>
      </c>
      <c r="F818" s="7" t="s">
        <v>3338</v>
      </c>
      <c r="G818" s="17" t="s">
        <v>4139</v>
      </c>
      <c r="H818" s="17" t="s">
        <v>4140</v>
      </c>
      <c r="I818" s="19">
        <v>5.0</v>
      </c>
      <c r="J818" s="10" t="s">
        <v>4178</v>
      </c>
      <c r="K818" s="5"/>
      <c r="L818" s="5"/>
      <c r="M818" s="5" t="s">
        <v>65</v>
      </c>
    </row>
    <row r="819" ht="15.75" customHeight="1">
      <c r="A819" s="14">
        <v>46299.0</v>
      </c>
      <c r="B819" s="5" t="s">
        <v>4136</v>
      </c>
      <c r="C819" s="15">
        <v>0.5729166666666666</v>
      </c>
      <c r="D819" s="5" t="s">
        <v>2820</v>
      </c>
      <c r="E819" s="16" t="str">
        <f t="array" ref="E819">_xlfn.XLOOKUP(F819, Filmes!$D$2:$D$344, Filmes!$A$2:$A$344, "")</f>
        <v>275</v>
      </c>
      <c r="F819" s="7" t="s">
        <v>3338</v>
      </c>
      <c r="G819" s="17" t="s">
        <v>4130</v>
      </c>
      <c r="H819" s="17" t="s">
        <v>4131</v>
      </c>
      <c r="I819" s="19">
        <v>5.0</v>
      </c>
      <c r="J819" s="5" t="s">
        <v>4178</v>
      </c>
      <c r="K819" s="5"/>
      <c r="L819" s="5"/>
      <c r="M819" s="5"/>
    </row>
    <row r="820" ht="15.75" customHeight="1">
      <c r="A820" s="14">
        <v>46298.0</v>
      </c>
      <c r="B820" s="5" t="s">
        <v>4127</v>
      </c>
      <c r="C820" s="15">
        <v>0.90625</v>
      </c>
      <c r="D820" s="5" t="s">
        <v>2820</v>
      </c>
      <c r="E820" s="16" t="str">
        <f t="array" ref="E820">_xlfn.XLOOKUP(F820, Filmes!$D$2:$D$344, Filmes!$A$2:$A$344, "")</f>
        <v>276</v>
      </c>
      <c r="F820" s="7" t="s">
        <v>3347</v>
      </c>
      <c r="G820" s="17" t="s">
        <v>4128</v>
      </c>
      <c r="H820" s="17" t="s">
        <v>4129</v>
      </c>
      <c r="I820" s="19">
        <v>4.0</v>
      </c>
      <c r="J820" s="5"/>
      <c r="K820" s="5"/>
      <c r="L820" s="5" t="s">
        <v>65</v>
      </c>
      <c r="M820" s="5"/>
    </row>
    <row r="821" ht="15.75" customHeight="1">
      <c r="A821" s="14">
        <v>46298.0</v>
      </c>
      <c r="B821" s="5" t="s">
        <v>4127</v>
      </c>
      <c r="C821" s="15">
        <v>0.90625</v>
      </c>
      <c r="D821" s="5" t="s">
        <v>2820</v>
      </c>
      <c r="E821" s="16" t="str">
        <f t="array" ref="E821">_xlfn.XLOOKUP(F821, Filmes!$D$2:$D$344, Filmes!$A$2:$A$344, "")</f>
        <v>276</v>
      </c>
      <c r="F821" s="7" t="s">
        <v>3347</v>
      </c>
      <c r="G821" s="17" t="s">
        <v>4128</v>
      </c>
      <c r="H821" s="17" t="s">
        <v>4129</v>
      </c>
      <c r="I821" s="19">
        <v>5.0</v>
      </c>
      <c r="J821" s="5"/>
      <c r="K821" s="5"/>
      <c r="L821" s="5" t="s">
        <v>65</v>
      </c>
      <c r="M821" s="5"/>
    </row>
    <row r="822" ht="15.75" customHeight="1">
      <c r="A822" s="14">
        <v>46299.0</v>
      </c>
      <c r="B822" s="5" t="s">
        <v>4136</v>
      </c>
      <c r="C822" s="15">
        <v>0.6875</v>
      </c>
      <c r="D822" s="5" t="s">
        <v>2820</v>
      </c>
      <c r="E822" s="16" t="str">
        <f t="array" ref="E822">_xlfn.XLOOKUP(F822, Filmes!$D$2:$D$344, Filmes!$A$2:$A$344, "")</f>
        <v>276</v>
      </c>
      <c r="F822" s="7" t="s">
        <v>3347</v>
      </c>
      <c r="G822" s="17" t="s">
        <v>4122</v>
      </c>
      <c r="H822" s="17" t="s">
        <v>4123</v>
      </c>
      <c r="I822" s="19"/>
      <c r="J822" s="10"/>
      <c r="K822" s="5" t="s">
        <v>65</v>
      </c>
      <c r="L822" s="5"/>
      <c r="M822" s="5" t="s">
        <v>65</v>
      </c>
    </row>
    <row r="823" ht="15.75" customHeight="1">
      <c r="A823" s="14">
        <v>46300.0</v>
      </c>
      <c r="B823" s="5" t="s">
        <v>4132</v>
      </c>
      <c r="C823" s="15">
        <v>0.8854166666666666</v>
      </c>
      <c r="D823" s="5" t="s">
        <v>2820</v>
      </c>
      <c r="E823" s="16" t="str">
        <f t="array" ref="E823">_xlfn.XLOOKUP(F823, Filmes!$D$2:$D$344, Filmes!$A$2:$A$344, "")</f>
        <v>276</v>
      </c>
      <c r="F823" s="7" t="s">
        <v>3347</v>
      </c>
      <c r="G823" s="17" t="s">
        <v>4130</v>
      </c>
      <c r="H823" s="17" t="s">
        <v>4131</v>
      </c>
      <c r="I823" s="19">
        <v>5.0</v>
      </c>
      <c r="J823" s="5"/>
      <c r="K823" s="5"/>
      <c r="L823" s="5"/>
      <c r="M823" s="5"/>
    </row>
    <row r="824" ht="15.75" customHeight="1">
      <c r="A824" s="14">
        <v>46304.0</v>
      </c>
      <c r="B824" s="5" t="s">
        <v>4135</v>
      </c>
      <c r="C824" s="15">
        <v>0.8645833333333334</v>
      </c>
      <c r="D824" s="5" t="s">
        <v>2820</v>
      </c>
      <c r="E824" s="16" t="str">
        <f t="array" ref="E824">_xlfn.XLOOKUP(F824, Filmes!$D$2:$D$344, Filmes!$A$2:$A$344, "")</f>
        <v>277</v>
      </c>
      <c r="F824" s="7" t="s">
        <v>3358</v>
      </c>
      <c r="G824" s="17" t="s">
        <v>4128</v>
      </c>
      <c r="H824" s="17" t="s">
        <v>4129</v>
      </c>
      <c r="I824" s="19">
        <v>3.0</v>
      </c>
      <c r="J824" s="10" t="s">
        <v>4179</v>
      </c>
      <c r="K824" s="5"/>
      <c r="L824" s="5" t="s">
        <v>65</v>
      </c>
      <c r="M824" s="5"/>
    </row>
    <row r="825" ht="15.75" customHeight="1">
      <c r="A825" s="14">
        <v>46305.0</v>
      </c>
      <c r="B825" s="5" t="s">
        <v>4127</v>
      </c>
      <c r="C825" s="15">
        <v>0.6770833333333334</v>
      </c>
      <c r="D825" s="5" t="s">
        <v>2820</v>
      </c>
      <c r="E825" s="16" t="str">
        <f t="array" ref="E825">_xlfn.XLOOKUP(F825, Filmes!$D$2:$D$344, Filmes!$A$2:$A$344, "")</f>
        <v>277</v>
      </c>
      <c r="F825" s="7" t="s">
        <v>3358</v>
      </c>
      <c r="G825" s="17" t="s">
        <v>4139</v>
      </c>
      <c r="H825" s="17" t="s">
        <v>4140</v>
      </c>
      <c r="I825" s="19">
        <v>3.0</v>
      </c>
      <c r="J825" s="10" t="s">
        <v>4179</v>
      </c>
      <c r="K825" s="5"/>
      <c r="L825" s="5" t="s">
        <v>65</v>
      </c>
      <c r="M825" s="5"/>
    </row>
    <row r="826" ht="15.75" customHeight="1">
      <c r="A826" s="14">
        <v>46302.0</v>
      </c>
      <c r="B826" s="5" t="s">
        <v>4143</v>
      </c>
      <c r="C826" s="15">
        <v>0.78125</v>
      </c>
      <c r="D826" s="5" t="s">
        <v>2820</v>
      </c>
      <c r="E826" s="16" t="str">
        <f t="array" ref="E826">_xlfn.XLOOKUP(F826, Filmes!$D$2:$D$344, Filmes!$A$2:$A$344, "")</f>
        <v>278</v>
      </c>
      <c r="F826" s="7" t="s">
        <v>3369</v>
      </c>
      <c r="G826" s="17" t="s">
        <v>4128</v>
      </c>
      <c r="H826" s="17" t="s">
        <v>4129</v>
      </c>
      <c r="I826" s="19">
        <v>1.0</v>
      </c>
      <c r="J826" s="5"/>
      <c r="K826" s="5"/>
      <c r="L826" s="5" t="s">
        <v>65</v>
      </c>
      <c r="M826" s="5"/>
    </row>
    <row r="827" ht="15.75" customHeight="1">
      <c r="A827" s="14">
        <v>46302.0</v>
      </c>
      <c r="B827" s="5" t="s">
        <v>4143</v>
      </c>
      <c r="C827" s="15">
        <v>0.78125</v>
      </c>
      <c r="D827" s="5" t="s">
        <v>2820</v>
      </c>
      <c r="E827" s="16" t="str">
        <f t="array" ref="E827">_xlfn.XLOOKUP(F827, Filmes!$D$2:$D$344, Filmes!$A$2:$A$344, "")</f>
        <v>278</v>
      </c>
      <c r="F827" s="7" t="s">
        <v>3369</v>
      </c>
      <c r="G827" s="17" t="s">
        <v>4128</v>
      </c>
      <c r="H827" s="17" t="s">
        <v>4129</v>
      </c>
      <c r="I827" s="19">
        <v>2.0</v>
      </c>
      <c r="J827" s="5"/>
      <c r="K827" s="5"/>
      <c r="L827" s="5" t="s">
        <v>65</v>
      </c>
      <c r="M827" s="5"/>
    </row>
    <row r="828" ht="15.75" customHeight="1">
      <c r="A828" s="14">
        <v>46303.0</v>
      </c>
      <c r="B828" s="5" t="s">
        <v>4124</v>
      </c>
      <c r="C828" s="15">
        <v>0.6770833333333334</v>
      </c>
      <c r="D828" s="5" t="s">
        <v>2820</v>
      </c>
      <c r="E828" s="16" t="str">
        <f t="array" ref="E828">_xlfn.XLOOKUP(F828, Filmes!$D$2:$D$344, Filmes!$A$2:$A$344, "")</f>
        <v>278</v>
      </c>
      <c r="F828" s="7" t="s">
        <v>3369</v>
      </c>
      <c r="G828" s="17" t="s">
        <v>4139</v>
      </c>
      <c r="H828" s="17" t="s">
        <v>4140</v>
      </c>
      <c r="I828" s="19">
        <v>5.0</v>
      </c>
      <c r="J828" s="5"/>
      <c r="K828" s="5"/>
      <c r="L828" s="5"/>
      <c r="M828" s="5" t="s">
        <v>65</v>
      </c>
    </row>
    <row r="829" ht="15.75" customHeight="1">
      <c r="A829" s="14">
        <v>46304.0</v>
      </c>
      <c r="B829" s="5" t="s">
        <v>4135</v>
      </c>
      <c r="C829" s="15">
        <v>0.5729166666666666</v>
      </c>
      <c r="D829" s="5" t="s">
        <v>2820</v>
      </c>
      <c r="E829" s="16" t="str">
        <f t="array" ref="E829">_xlfn.XLOOKUP(F829, Filmes!$D$2:$D$344, Filmes!$A$2:$A$344, "")</f>
        <v>278</v>
      </c>
      <c r="F829" s="7" t="s">
        <v>3369</v>
      </c>
      <c r="G829" s="17" t="s">
        <v>4130</v>
      </c>
      <c r="H829" s="17" t="s">
        <v>4131</v>
      </c>
      <c r="I829" s="19">
        <v>5.0</v>
      </c>
      <c r="J829" s="5"/>
      <c r="K829" s="5"/>
      <c r="L829" s="5"/>
      <c r="M829" s="5"/>
    </row>
    <row r="830" ht="15.75" customHeight="1">
      <c r="A830" s="14">
        <v>46300.0</v>
      </c>
      <c r="B830" s="5" t="s">
        <v>4132</v>
      </c>
      <c r="C830" s="15">
        <v>0.8958333333333334</v>
      </c>
      <c r="D830" s="5" t="s">
        <v>2820</v>
      </c>
      <c r="E830" s="16" t="str">
        <f t="array" ref="E830">_xlfn.XLOOKUP(F830, Filmes!$D$2:$D$344, Filmes!$A$2:$A$344, "")</f>
        <v>279</v>
      </c>
      <c r="F830" s="7" t="s">
        <v>3381</v>
      </c>
      <c r="G830" s="17" t="s">
        <v>4152</v>
      </c>
      <c r="H830" s="17" t="s">
        <v>4153</v>
      </c>
      <c r="I830" s="19"/>
      <c r="J830" s="10"/>
      <c r="K830" s="5" t="s">
        <v>65</v>
      </c>
      <c r="L830" s="5" t="s">
        <v>65</v>
      </c>
      <c r="M830" s="5"/>
    </row>
    <row r="831" ht="15.75" customHeight="1">
      <c r="A831" s="14">
        <v>46300.0</v>
      </c>
      <c r="B831" s="5" t="s">
        <v>4132</v>
      </c>
      <c r="C831" s="15">
        <v>0.78125</v>
      </c>
      <c r="D831" s="5" t="s">
        <v>2820</v>
      </c>
      <c r="E831" s="16" t="str">
        <f t="array" ref="E831">_xlfn.XLOOKUP(F831, Filmes!$D$2:$D$344, Filmes!$A$2:$A$344, "")</f>
        <v>280</v>
      </c>
      <c r="F831" s="7" t="s">
        <v>3395</v>
      </c>
      <c r="G831" s="17" t="s">
        <v>4128</v>
      </c>
      <c r="H831" s="17" t="s">
        <v>4129</v>
      </c>
      <c r="I831" s="19">
        <v>1.0</v>
      </c>
      <c r="J831" s="5"/>
      <c r="K831" s="5"/>
      <c r="L831" s="5" t="s">
        <v>65</v>
      </c>
      <c r="M831" s="5"/>
    </row>
    <row r="832" ht="15.75" customHeight="1">
      <c r="A832" s="14">
        <v>46300.0</v>
      </c>
      <c r="B832" s="5" t="s">
        <v>4132</v>
      </c>
      <c r="C832" s="15">
        <v>0.78125</v>
      </c>
      <c r="D832" s="5" t="s">
        <v>2820</v>
      </c>
      <c r="E832" s="16" t="str">
        <f t="array" ref="E832">_xlfn.XLOOKUP(F832, Filmes!$D$2:$D$344, Filmes!$A$2:$A$344, "")</f>
        <v>280</v>
      </c>
      <c r="F832" s="7" t="s">
        <v>3395</v>
      </c>
      <c r="G832" s="17" t="s">
        <v>4128</v>
      </c>
      <c r="H832" s="17" t="s">
        <v>4129</v>
      </c>
      <c r="I832" s="19">
        <v>2.0</v>
      </c>
      <c r="J832" s="5"/>
      <c r="K832" s="5"/>
      <c r="L832" s="5" t="s">
        <v>65</v>
      </c>
      <c r="M832" s="5"/>
    </row>
    <row r="833" ht="15.75" customHeight="1">
      <c r="A833" s="14">
        <v>46301.0</v>
      </c>
      <c r="B833" s="5" t="s">
        <v>4121</v>
      </c>
      <c r="C833" s="15">
        <v>0.6770833333333334</v>
      </c>
      <c r="D833" s="5" t="s">
        <v>2820</v>
      </c>
      <c r="E833" s="16" t="str">
        <f t="array" ref="E833">_xlfn.XLOOKUP(F833, Filmes!$D$2:$D$344, Filmes!$A$2:$A$344, "")</f>
        <v>280</v>
      </c>
      <c r="F833" s="7" t="s">
        <v>3395</v>
      </c>
      <c r="G833" s="17" t="s">
        <v>4139</v>
      </c>
      <c r="H833" s="17" t="s">
        <v>4140</v>
      </c>
      <c r="I833" s="19">
        <v>5.0</v>
      </c>
      <c r="J833" s="5"/>
      <c r="K833" s="5"/>
      <c r="L833" s="5"/>
      <c r="M833" s="5" t="s">
        <v>65</v>
      </c>
    </row>
    <row r="834" ht="15.75" customHeight="1">
      <c r="A834" s="14">
        <v>46302.0</v>
      </c>
      <c r="B834" s="5" t="s">
        <v>4143</v>
      </c>
      <c r="C834" s="15">
        <v>0.5729166666666666</v>
      </c>
      <c r="D834" s="5" t="s">
        <v>2820</v>
      </c>
      <c r="E834" s="16" t="str">
        <f t="array" ref="E834">_xlfn.XLOOKUP(F834, Filmes!$D$2:$D$344, Filmes!$A$2:$A$344, "")</f>
        <v>280</v>
      </c>
      <c r="F834" s="7" t="s">
        <v>3395</v>
      </c>
      <c r="G834" s="17" t="s">
        <v>4130</v>
      </c>
      <c r="H834" s="17" t="s">
        <v>4131</v>
      </c>
      <c r="I834" s="19">
        <v>5.0</v>
      </c>
      <c r="J834" s="5"/>
      <c r="K834" s="5"/>
      <c r="L834" s="5"/>
      <c r="M834" s="5"/>
    </row>
    <row r="835" ht="15.75" customHeight="1">
      <c r="A835" s="14">
        <v>46300.0</v>
      </c>
      <c r="B835" s="5" t="s">
        <v>4132</v>
      </c>
      <c r="C835" s="15">
        <v>0.8020833333333334</v>
      </c>
      <c r="D835" s="5" t="s">
        <v>2820</v>
      </c>
      <c r="E835" s="16" t="str">
        <f t="array" ref="E835">_xlfn.XLOOKUP(F835, Filmes!$D$2:$D$344, Filmes!$A$2:$A$344, "")</f>
        <v>281</v>
      </c>
      <c r="F835" s="7" t="s">
        <v>3407</v>
      </c>
      <c r="G835" s="17" t="s">
        <v>4128</v>
      </c>
      <c r="H835" s="17" t="s">
        <v>4129</v>
      </c>
      <c r="I835" s="19">
        <v>4.0</v>
      </c>
      <c r="J835" s="10" t="s">
        <v>4180</v>
      </c>
      <c r="K835" s="5"/>
      <c r="L835" s="5" t="s">
        <v>65</v>
      </c>
      <c r="M835" s="5"/>
    </row>
    <row r="836" ht="15.75" customHeight="1">
      <c r="A836" s="14">
        <v>46300.0</v>
      </c>
      <c r="B836" s="5" t="s">
        <v>4132</v>
      </c>
      <c r="C836" s="15">
        <v>0.8020833333333334</v>
      </c>
      <c r="D836" s="5" t="s">
        <v>2820</v>
      </c>
      <c r="E836" s="16" t="str">
        <f t="array" ref="E836">_xlfn.XLOOKUP(F836, Filmes!$D$2:$D$344, Filmes!$A$2:$A$344, "")</f>
        <v>281</v>
      </c>
      <c r="F836" s="7" t="s">
        <v>3407</v>
      </c>
      <c r="G836" s="17" t="s">
        <v>4128</v>
      </c>
      <c r="H836" s="17" t="s">
        <v>4129</v>
      </c>
      <c r="I836" s="19">
        <v>5.0</v>
      </c>
      <c r="J836" s="10" t="s">
        <v>4180</v>
      </c>
      <c r="K836" s="5"/>
      <c r="L836" s="5" t="s">
        <v>65</v>
      </c>
      <c r="M836" s="5"/>
    </row>
    <row r="837" ht="15.75" customHeight="1">
      <c r="A837" s="14">
        <v>46301.0</v>
      </c>
      <c r="B837" s="5" t="s">
        <v>4121</v>
      </c>
      <c r="C837" s="15">
        <v>0.5625</v>
      </c>
      <c r="D837" s="5" t="s">
        <v>2820</v>
      </c>
      <c r="E837" s="16" t="str">
        <f t="array" ref="E837">_xlfn.XLOOKUP(F837, Filmes!$D$2:$D$344, Filmes!$A$2:$A$344, "")</f>
        <v>281</v>
      </c>
      <c r="F837" s="7" t="s">
        <v>3407</v>
      </c>
      <c r="G837" s="17" t="s">
        <v>4122</v>
      </c>
      <c r="H837" s="17" t="s">
        <v>4123</v>
      </c>
      <c r="I837" s="19"/>
      <c r="J837" s="10" t="s">
        <v>4180</v>
      </c>
      <c r="K837" s="5" t="s">
        <v>65</v>
      </c>
      <c r="L837" s="5"/>
      <c r="M837" s="5" t="s">
        <v>65</v>
      </c>
    </row>
    <row r="838" ht="15.75" customHeight="1">
      <c r="A838" s="14">
        <v>46302.0</v>
      </c>
      <c r="B838" s="5" t="s">
        <v>4143</v>
      </c>
      <c r="C838" s="15">
        <v>0.78125</v>
      </c>
      <c r="D838" s="5" t="s">
        <v>2820</v>
      </c>
      <c r="E838" s="16" t="str">
        <f t="array" ref="E838">_xlfn.XLOOKUP(F838, Filmes!$D$2:$D$344, Filmes!$A$2:$A$344, "")</f>
        <v>281</v>
      </c>
      <c r="F838" s="7" t="s">
        <v>3407</v>
      </c>
      <c r="G838" s="17" t="s">
        <v>4130</v>
      </c>
      <c r="H838" s="17" t="s">
        <v>4131</v>
      </c>
      <c r="I838" s="19">
        <v>5.0</v>
      </c>
      <c r="J838" s="5" t="s">
        <v>4180</v>
      </c>
      <c r="K838" s="5"/>
      <c r="L838" s="5"/>
      <c r="M838" s="5"/>
    </row>
    <row r="839" ht="15.75" customHeight="1">
      <c r="A839" s="14">
        <v>46303.0</v>
      </c>
      <c r="B839" s="5" t="s">
        <v>4124</v>
      </c>
      <c r="C839" s="15">
        <v>0.90625</v>
      </c>
      <c r="D839" s="5" t="s">
        <v>2820</v>
      </c>
      <c r="E839" s="16" t="str">
        <f t="array" ref="E839">_xlfn.XLOOKUP(F839, Filmes!$D$2:$D$344, Filmes!$A$2:$A$344, "")</f>
        <v>282</v>
      </c>
      <c r="F839" s="7" t="s">
        <v>3419</v>
      </c>
      <c r="G839" s="17" t="s">
        <v>4122</v>
      </c>
      <c r="H839" s="17" t="s">
        <v>4123</v>
      </c>
      <c r="I839" s="19"/>
      <c r="J839" s="5"/>
      <c r="K839" s="5"/>
      <c r="L839" s="5" t="s">
        <v>65</v>
      </c>
      <c r="M839" s="5"/>
    </row>
    <row r="840" ht="15.75" customHeight="1">
      <c r="A840" s="14">
        <v>46304.0</v>
      </c>
      <c r="B840" s="5" t="s">
        <v>4135</v>
      </c>
      <c r="C840" s="15">
        <v>0.7916666666666666</v>
      </c>
      <c r="D840" s="5" t="s">
        <v>2820</v>
      </c>
      <c r="E840" s="16" t="str">
        <f t="array" ref="E840">_xlfn.XLOOKUP(F840, Filmes!$D$2:$D$344, Filmes!$A$2:$A$344, "")</f>
        <v>282</v>
      </c>
      <c r="F840" s="7" t="s">
        <v>3419</v>
      </c>
      <c r="G840" s="17" t="s">
        <v>4137</v>
      </c>
      <c r="H840" s="17" t="s">
        <v>4138</v>
      </c>
      <c r="I840" s="19">
        <v>1.0</v>
      </c>
      <c r="J840" s="5"/>
      <c r="K840" s="5"/>
      <c r="L840" s="5" t="s">
        <v>65</v>
      </c>
      <c r="M840" s="5"/>
    </row>
    <row r="841" ht="15.75" customHeight="1">
      <c r="A841" s="14">
        <v>46303.0</v>
      </c>
      <c r="B841" s="5" t="s">
        <v>4124</v>
      </c>
      <c r="C841" s="15">
        <v>0.8020833333333334</v>
      </c>
      <c r="D841" s="5" t="s">
        <v>2820</v>
      </c>
      <c r="E841" s="16" t="str">
        <f t="array" ref="E841">_xlfn.XLOOKUP(F841, Filmes!$D$2:$D$344, Filmes!$A$2:$A$344, "")</f>
        <v>283</v>
      </c>
      <c r="F841" s="7" t="s">
        <v>3431</v>
      </c>
      <c r="G841" s="17" t="s">
        <v>4128</v>
      </c>
      <c r="H841" s="17" t="s">
        <v>4129</v>
      </c>
      <c r="I841" s="19">
        <v>4.0</v>
      </c>
      <c r="J841" s="10" t="s">
        <v>4181</v>
      </c>
      <c r="K841" s="5"/>
      <c r="L841" s="5" t="s">
        <v>65</v>
      </c>
      <c r="M841" s="5"/>
    </row>
    <row r="842" ht="15.75" customHeight="1">
      <c r="A842" s="14">
        <v>46303.0</v>
      </c>
      <c r="B842" s="5" t="s">
        <v>4124</v>
      </c>
      <c r="C842" s="15">
        <v>0.8020833333333334</v>
      </c>
      <c r="D842" s="5" t="s">
        <v>2820</v>
      </c>
      <c r="E842" s="16" t="str">
        <f t="array" ref="E842">_xlfn.XLOOKUP(F842, Filmes!$D$2:$D$344, Filmes!$A$2:$A$344, "")</f>
        <v>283</v>
      </c>
      <c r="F842" s="7" t="s">
        <v>3431</v>
      </c>
      <c r="G842" s="17" t="s">
        <v>4128</v>
      </c>
      <c r="H842" s="17" t="s">
        <v>4129</v>
      </c>
      <c r="I842" s="19">
        <v>5.0</v>
      </c>
      <c r="J842" s="10" t="s">
        <v>4181</v>
      </c>
      <c r="K842" s="5"/>
      <c r="L842" s="5" t="s">
        <v>65</v>
      </c>
      <c r="M842" s="5"/>
    </row>
    <row r="843" ht="15.75" customHeight="1">
      <c r="A843" s="14">
        <v>46304.0</v>
      </c>
      <c r="B843" s="5" t="s">
        <v>4135</v>
      </c>
      <c r="C843" s="15">
        <v>0.5625</v>
      </c>
      <c r="D843" s="5" t="s">
        <v>2820</v>
      </c>
      <c r="E843" s="16" t="str">
        <f t="array" ref="E843">_xlfn.XLOOKUP(F843, Filmes!$D$2:$D$344, Filmes!$A$2:$A$344, "")</f>
        <v>283</v>
      </c>
      <c r="F843" s="7" t="s">
        <v>3431</v>
      </c>
      <c r="G843" s="17" t="s">
        <v>4122</v>
      </c>
      <c r="H843" s="17" t="s">
        <v>4123</v>
      </c>
      <c r="I843" s="19"/>
      <c r="J843" s="10" t="s">
        <v>4181</v>
      </c>
      <c r="K843" s="5" t="s">
        <v>65</v>
      </c>
      <c r="L843" s="5"/>
      <c r="M843" s="5" t="s">
        <v>65</v>
      </c>
    </row>
    <row r="844" ht="15.75" customHeight="1">
      <c r="A844" s="14">
        <v>46305.0</v>
      </c>
      <c r="B844" s="5" t="s">
        <v>4127</v>
      </c>
      <c r="C844" s="15">
        <v>0.78125</v>
      </c>
      <c r="D844" s="5" t="s">
        <v>2820</v>
      </c>
      <c r="E844" s="16" t="str">
        <f t="array" ref="E844">_xlfn.XLOOKUP(F844, Filmes!$D$2:$D$344, Filmes!$A$2:$A$344, "")</f>
        <v>283</v>
      </c>
      <c r="F844" s="7" t="s">
        <v>3431</v>
      </c>
      <c r="G844" s="17" t="s">
        <v>4130</v>
      </c>
      <c r="H844" s="17" t="s">
        <v>4131</v>
      </c>
      <c r="I844" s="19">
        <v>5.0</v>
      </c>
      <c r="J844" s="5" t="s">
        <v>4181</v>
      </c>
      <c r="K844" s="5"/>
      <c r="L844" s="5"/>
      <c r="M844" s="5"/>
    </row>
    <row r="845" ht="15.75" customHeight="1">
      <c r="A845" s="14">
        <v>46302.0</v>
      </c>
      <c r="B845" s="5" t="s">
        <v>4143</v>
      </c>
      <c r="C845" s="15">
        <v>0.78125</v>
      </c>
      <c r="D845" s="5" t="s">
        <v>2820</v>
      </c>
      <c r="E845" s="16" t="str">
        <f t="array" ref="E845">_xlfn.XLOOKUP(F845, Filmes!$D$2:$D$344, Filmes!$A$2:$A$344, "")</f>
        <v>284</v>
      </c>
      <c r="F845" s="7" t="s">
        <v>3439</v>
      </c>
      <c r="G845" s="17" t="s">
        <v>4128</v>
      </c>
      <c r="H845" s="17" t="s">
        <v>4129</v>
      </c>
      <c r="I845" s="19">
        <v>1.0</v>
      </c>
      <c r="J845" s="10" t="s">
        <v>4182</v>
      </c>
      <c r="K845" s="5"/>
      <c r="L845" s="5" t="s">
        <v>65</v>
      </c>
      <c r="M845" s="5"/>
    </row>
    <row r="846" ht="15.75" customHeight="1">
      <c r="A846" s="14">
        <v>46302.0</v>
      </c>
      <c r="B846" s="5" t="s">
        <v>4143</v>
      </c>
      <c r="C846" s="15">
        <v>0.78125</v>
      </c>
      <c r="D846" s="5" t="s">
        <v>2820</v>
      </c>
      <c r="E846" s="16" t="str">
        <f t="array" ref="E846">_xlfn.XLOOKUP(F846, Filmes!$D$2:$D$344, Filmes!$A$2:$A$344, "")</f>
        <v>284</v>
      </c>
      <c r="F846" s="7" t="s">
        <v>3439</v>
      </c>
      <c r="G846" s="17" t="s">
        <v>4128</v>
      </c>
      <c r="H846" s="17" t="s">
        <v>4129</v>
      </c>
      <c r="I846" s="19">
        <v>2.0</v>
      </c>
      <c r="J846" s="10" t="s">
        <v>4182</v>
      </c>
      <c r="K846" s="5"/>
      <c r="L846" s="5" t="s">
        <v>65</v>
      </c>
      <c r="M846" s="5"/>
    </row>
    <row r="847" ht="15.75" customHeight="1">
      <c r="A847" s="14">
        <v>46303.0</v>
      </c>
      <c r="B847" s="5" t="s">
        <v>4124</v>
      </c>
      <c r="C847" s="15">
        <v>0.6770833333333334</v>
      </c>
      <c r="D847" s="5" t="s">
        <v>2820</v>
      </c>
      <c r="E847" s="16" t="str">
        <f t="array" ref="E847">_xlfn.XLOOKUP(F847, Filmes!$D$2:$D$344, Filmes!$A$2:$A$344, "")</f>
        <v>284</v>
      </c>
      <c r="F847" s="7" t="s">
        <v>3439</v>
      </c>
      <c r="G847" s="17" t="s">
        <v>4139</v>
      </c>
      <c r="H847" s="17" t="s">
        <v>4140</v>
      </c>
      <c r="I847" s="19">
        <v>5.0</v>
      </c>
      <c r="J847" s="10" t="s">
        <v>4182</v>
      </c>
      <c r="K847" s="5"/>
      <c r="L847" s="5"/>
      <c r="M847" s="5" t="s">
        <v>65</v>
      </c>
    </row>
    <row r="848" ht="15.75" customHeight="1">
      <c r="A848" s="14">
        <v>46304.0</v>
      </c>
      <c r="B848" s="5" t="s">
        <v>4135</v>
      </c>
      <c r="C848" s="15">
        <v>0.5729166666666666</v>
      </c>
      <c r="D848" s="5" t="s">
        <v>2820</v>
      </c>
      <c r="E848" s="16" t="str">
        <f t="array" ref="E848">_xlfn.XLOOKUP(F848, Filmes!$D$2:$D$344, Filmes!$A$2:$A$344, "")</f>
        <v>284</v>
      </c>
      <c r="F848" s="7" t="s">
        <v>3439</v>
      </c>
      <c r="G848" s="17" t="s">
        <v>4130</v>
      </c>
      <c r="H848" s="17" t="s">
        <v>4131</v>
      </c>
      <c r="I848" s="19">
        <v>5.0</v>
      </c>
      <c r="J848" s="5" t="s">
        <v>4182</v>
      </c>
      <c r="K848" s="5"/>
      <c r="L848" s="5"/>
      <c r="M848" s="5"/>
    </row>
    <row r="849" ht="15.75" customHeight="1">
      <c r="A849" s="14">
        <v>46302.0</v>
      </c>
      <c r="B849" s="5" t="s">
        <v>4143</v>
      </c>
      <c r="C849" s="15">
        <v>0.90625</v>
      </c>
      <c r="D849" s="5" t="s">
        <v>2820</v>
      </c>
      <c r="E849" s="16" t="str">
        <f t="array" ref="E849">_xlfn.XLOOKUP(F849, Filmes!$D$2:$D$344, Filmes!$A$2:$A$344, "")</f>
        <v>285</v>
      </c>
      <c r="F849" s="7" t="s">
        <v>3451</v>
      </c>
      <c r="G849" s="17" t="s">
        <v>4128</v>
      </c>
      <c r="H849" s="17" t="s">
        <v>4129</v>
      </c>
      <c r="I849" s="19">
        <v>4.0</v>
      </c>
      <c r="J849" s="5"/>
      <c r="K849" s="5"/>
      <c r="L849" s="5" t="s">
        <v>65</v>
      </c>
      <c r="M849" s="5"/>
    </row>
    <row r="850" ht="15.75" customHeight="1">
      <c r="A850" s="14">
        <v>46302.0</v>
      </c>
      <c r="B850" s="5" t="s">
        <v>4143</v>
      </c>
      <c r="C850" s="15">
        <v>0.90625</v>
      </c>
      <c r="D850" s="5" t="s">
        <v>2820</v>
      </c>
      <c r="E850" s="16" t="str">
        <f t="array" ref="E850">_xlfn.XLOOKUP(F850, Filmes!$D$2:$D$344, Filmes!$A$2:$A$344, "")</f>
        <v>285</v>
      </c>
      <c r="F850" s="7" t="s">
        <v>3451</v>
      </c>
      <c r="G850" s="17" t="s">
        <v>4128</v>
      </c>
      <c r="H850" s="17" t="s">
        <v>4129</v>
      </c>
      <c r="I850" s="19">
        <v>5.0</v>
      </c>
      <c r="J850" s="5"/>
      <c r="K850" s="5"/>
      <c r="L850" s="5" t="s">
        <v>65</v>
      </c>
      <c r="M850" s="5"/>
    </row>
    <row r="851" ht="15.75" customHeight="1">
      <c r="A851" s="14">
        <v>46303.0</v>
      </c>
      <c r="B851" s="5" t="s">
        <v>4124</v>
      </c>
      <c r="C851" s="15">
        <v>0.6875</v>
      </c>
      <c r="D851" s="5" t="s">
        <v>2820</v>
      </c>
      <c r="E851" s="16" t="str">
        <f t="array" ref="E851">_xlfn.XLOOKUP(F851, Filmes!$D$2:$D$344, Filmes!$A$2:$A$344, "")</f>
        <v>285</v>
      </c>
      <c r="F851" s="7" t="s">
        <v>3451</v>
      </c>
      <c r="G851" s="17" t="s">
        <v>4122</v>
      </c>
      <c r="H851" s="17" t="s">
        <v>4123</v>
      </c>
      <c r="I851" s="19"/>
      <c r="J851" s="10"/>
      <c r="K851" s="5" t="s">
        <v>65</v>
      </c>
      <c r="L851" s="5"/>
      <c r="M851" s="5" t="s">
        <v>65</v>
      </c>
    </row>
    <row r="852" ht="15.75" customHeight="1">
      <c r="A852" s="14">
        <v>46304.0</v>
      </c>
      <c r="B852" s="5" t="s">
        <v>4135</v>
      </c>
      <c r="C852" s="15">
        <v>0.8854166666666666</v>
      </c>
      <c r="D852" s="5" t="s">
        <v>2820</v>
      </c>
      <c r="E852" s="16" t="str">
        <f t="array" ref="E852">_xlfn.XLOOKUP(F852, Filmes!$D$2:$D$344, Filmes!$A$2:$A$344, "")</f>
        <v>285</v>
      </c>
      <c r="F852" s="7" t="s">
        <v>3451</v>
      </c>
      <c r="G852" s="17" t="s">
        <v>4130</v>
      </c>
      <c r="H852" s="17" t="s">
        <v>4131</v>
      </c>
      <c r="I852" s="19">
        <v>5.0</v>
      </c>
      <c r="J852" s="5"/>
      <c r="K852" s="5"/>
      <c r="L852" s="5"/>
      <c r="M852" s="5"/>
    </row>
    <row r="853" ht="15.75" customHeight="1">
      <c r="A853" s="14">
        <v>46298.0</v>
      </c>
      <c r="B853" s="5" t="s">
        <v>4127</v>
      </c>
      <c r="C853" s="15">
        <v>0.78125</v>
      </c>
      <c r="D853" s="5" t="s">
        <v>2820</v>
      </c>
      <c r="E853" s="16" t="str">
        <f t="array" ref="E853">_xlfn.XLOOKUP(F853, Filmes!$D$2:$D$344, Filmes!$A$2:$A$344, "")</f>
        <v>286</v>
      </c>
      <c r="F853" s="7" t="s">
        <v>3464</v>
      </c>
      <c r="G853" s="17" t="s">
        <v>4128</v>
      </c>
      <c r="H853" s="17" t="s">
        <v>4129</v>
      </c>
      <c r="I853" s="19">
        <v>1.0</v>
      </c>
      <c r="J853" s="5"/>
      <c r="K853" s="5"/>
      <c r="L853" s="5" t="s">
        <v>65</v>
      </c>
      <c r="M853" s="5"/>
    </row>
    <row r="854" ht="15.75" customHeight="1">
      <c r="A854" s="14">
        <v>46298.0</v>
      </c>
      <c r="B854" s="5" t="s">
        <v>4127</v>
      </c>
      <c r="C854" s="15">
        <v>0.78125</v>
      </c>
      <c r="D854" s="5" t="s">
        <v>2820</v>
      </c>
      <c r="E854" s="16" t="str">
        <f t="array" ref="E854">_xlfn.XLOOKUP(F854, Filmes!$D$2:$D$344, Filmes!$A$2:$A$344, "")</f>
        <v>286</v>
      </c>
      <c r="F854" s="7" t="s">
        <v>3464</v>
      </c>
      <c r="G854" s="17" t="s">
        <v>4128</v>
      </c>
      <c r="H854" s="17" t="s">
        <v>4129</v>
      </c>
      <c r="I854" s="19">
        <v>2.0</v>
      </c>
      <c r="J854" s="5"/>
      <c r="K854" s="5"/>
      <c r="L854" s="5" t="s">
        <v>65</v>
      </c>
      <c r="M854" s="5"/>
    </row>
    <row r="855" ht="15.75" customHeight="1">
      <c r="A855" s="14">
        <v>46299.0</v>
      </c>
      <c r="B855" s="5" t="s">
        <v>4136</v>
      </c>
      <c r="C855" s="15">
        <v>0.6770833333333334</v>
      </c>
      <c r="D855" s="5" t="s">
        <v>2820</v>
      </c>
      <c r="E855" s="16" t="str">
        <f t="array" ref="E855">_xlfn.XLOOKUP(F855, Filmes!$D$2:$D$344, Filmes!$A$2:$A$344, "")</f>
        <v>286</v>
      </c>
      <c r="F855" s="7" t="s">
        <v>3464</v>
      </c>
      <c r="G855" s="17" t="s">
        <v>4139</v>
      </c>
      <c r="H855" s="17" t="s">
        <v>4140</v>
      </c>
      <c r="I855" s="19">
        <v>5.0</v>
      </c>
      <c r="J855" s="5"/>
      <c r="K855" s="5"/>
      <c r="L855" s="5"/>
      <c r="M855" s="5" t="s">
        <v>65</v>
      </c>
    </row>
    <row r="856" ht="15.75" customHeight="1">
      <c r="A856" s="14">
        <v>46300.0</v>
      </c>
      <c r="B856" s="5" t="s">
        <v>4132</v>
      </c>
      <c r="C856" s="15">
        <v>0.5729166666666666</v>
      </c>
      <c r="D856" s="5" t="s">
        <v>2820</v>
      </c>
      <c r="E856" s="16" t="str">
        <f t="array" ref="E856">_xlfn.XLOOKUP(F856, Filmes!$D$2:$D$344, Filmes!$A$2:$A$344, "")</f>
        <v>286</v>
      </c>
      <c r="F856" s="7" t="s">
        <v>3464</v>
      </c>
      <c r="G856" s="17" t="s">
        <v>4130</v>
      </c>
      <c r="H856" s="17" t="s">
        <v>4131</v>
      </c>
      <c r="I856" s="19">
        <v>5.0</v>
      </c>
      <c r="J856" s="5"/>
      <c r="K856" s="5"/>
      <c r="L856" s="5"/>
      <c r="M856" s="5"/>
    </row>
    <row r="857" ht="15.75" customHeight="1">
      <c r="A857" s="14">
        <v>46302.0</v>
      </c>
      <c r="B857" s="5" t="s">
        <v>4143</v>
      </c>
      <c r="C857" s="15">
        <v>0.8020833333333334</v>
      </c>
      <c r="D857" s="5" t="s">
        <v>2820</v>
      </c>
      <c r="E857" s="16" t="str">
        <f t="array" ref="E857">_xlfn.XLOOKUP(F857, Filmes!$D$2:$D$344, Filmes!$A$2:$A$344, "")</f>
        <v>287</v>
      </c>
      <c r="F857" s="7" t="s">
        <v>3476</v>
      </c>
      <c r="G857" s="17" t="s">
        <v>4128</v>
      </c>
      <c r="H857" s="17" t="s">
        <v>4129</v>
      </c>
      <c r="I857" s="19">
        <v>4.0</v>
      </c>
      <c r="J857" s="5"/>
      <c r="K857" s="5"/>
      <c r="L857" s="5" t="s">
        <v>65</v>
      </c>
      <c r="M857" s="5"/>
    </row>
    <row r="858" ht="15.75" customHeight="1">
      <c r="A858" s="14">
        <v>46302.0</v>
      </c>
      <c r="B858" s="5" t="s">
        <v>4143</v>
      </c>
      <c r="C858" s="15">
        <v>0.8020833333333334</v>
      </c>
      <c r="D858" s="5" t="s">
        <v>2820</v>
      </c>
      <c r="E858" s="16" t="str">
        <f t="array" ref="E858">_xlfn.XLOOKUP(F858, Filmes!$D$2:$D$344, Filmes!$A$2:$A$344, "")</f>
        <v>287</v>
      </c>
      <c r="F858" s="7" t="s">
        <v>3476</v>
      </c>
      <c r="G858" s="17" t="s">
        <v>4128</v>
      </c>
      <c r="H858" s="17" t="s">
        <v>4129</v>
      </c>
      <c r="I858" s="19">
        <v>5.0</v>
      </c>
      <c r="J858" s="5"/>
      <c r="K858" s="5"/>
      <c r="L858" s="5" t="s">
        <v>65</v>
      </c>
      <c r="M858" s="5"/>
    </row>
    <row r="859" ht="15.75" customHeight="1">
      <c r="A859" s="14">
        <v>46303.0</v>
      </c>
      <c r="B859" s="5" t="s">
        <v>4124</v>
      </c>
      <c r="C859" s="15">
        <v>0.5625</v>
      </c>
      <c r="D859" s="5" t="s">
        <v>2820</v>
      </c>
      <c r="E859" s="16" t="str">
        <f t="array" ref="E859">_xlfn.XLOOKUP(F859, Filmes!$D$2:$D$344, Filmes!$A$2:$A$344, "")</f>
        <v>287</v>
      </c>
      <c r="F859" s="7" t="s">
        <v>3476</v>
      </c>
      <c r="G859" s="17" t="s">
        <v>4122</v>
      </c>
      <c r="H859" s="17" t="s">
        <v>4123</v>
      </c>
      <c r="I859" s="18"/>
      <c r="J859" s="10"/>
      <c r="K859" s="5" t="s">
        <v>65</v>
      </c>
      <c r="L859" s="5"/>
      <c r="M859" s="5" t="s">
        <v>65</v>
      </c>
    </row>
    <row r="860" ht="15.75" customHeight="1">
      <c r="A860" s="14">
        <v>46304.0</v>
      </c>
      <c r="B860" s="5" t="s">
        <v>4135</v>
      </c>
      <c r="C860" s="15">
        <v>0.78125</v>
      </c>
      <c r="D860" s="5" t="s">
        <v>2820</v>
      </c>
      <c r="E860" s="16" t="str">
        <f t="array" ref="E860">_xlfn.XLOOKUP(F860, Filmes!$D$2:$D$344, Filmes!$A$2:$A$344, "")</f>
        <v>287</v>
      </c>
      <c r="F860" s="7" t="s">
        <v>3476</v>
      </c>
      <c r="G860" s="17" t="s">
        <v>4130</v>
      </c>
      <c r="H860" s="17" t="s">
        <v>4131</v>
      </c>
      <c r="I860" s="19">
        <v>5.0</v>
      </c>
      <c r="J860" s="5"/>
      <c r="K860" s="5"/>
      <c r="L860" s="5"/>
      <c r="M860" s="5"/>
    </row>
    <row r="861" ht="15.75" customHeight="1">
      <c r="A861" s="14">
        <v>46301.0</v>
      </c>
      <c r="B861" s="5" t="s">
        <v>4121</v>
      </c>
      <c r="C861" s="15">
        <v>0.90625</v>
      </c>
      <c r="D861" s="5" t="s">
        <v>2820</v>
      </c>
      <c r="E861" s="16" t="str">
        <f t="array" ref="E861">_xlfn.XLOOKUP(F861, Filmes!$D$2:$D$344, Filmes!$A$2:$A$344, "")</f>
        <v>288</v>
      </c>
      <c r="F861" s="7" t="s">
        <v>3486</v>
      </c>
      <c r="G861" s="17" t="s">
        <v>4122</v>
      </c>
      <c r="H861" s="17" t="s">
        <v>4123</v>
      </c>
      <c r="I861" s="19"/>
      <c r="J861" s="10"/>
      <c r="K861" s="5" t="s">
        <v>65</v>
      </c>
      <c r="L861" s="5" t="s">
        <v>65</v>
      </c>
      <c r="M861" s="5"/>
    </row>
    <row r="862" ht="15.75" customHeight="1">
      <c r="A862" s="14">
        <v>46298.0</v>
      </c>
      <c r="B862" s="5" t="s">
        <v>4127</v>
      </c>
      <c r="C862" s="15">
        <v>0.6875</v>
      </c>
      <c r="D862" s="5" t="s">
        <v>2820</v>
      </c>
      <c r="E862" s="16" t="str">
        <f t="array" ref="E862">_xlfn.XLOOKUP(F862, Filmes!$D$2:$D$344, Filmes!$A$2:$A$344, "")</f>
        <v>289</v>
      </c>
      <c r="F862" s="7" t="s">
        <v>3496</v>
      </c>
      <c r="G862" s="17" t="s">
        <v>4128</v>
      </c>
      <c r="H862" s="17" t="s">
        <v>4129</v>
      </c>
      <c r="I862" s="19">
        <v>1.0</v>
      </c>
      <c r="J862" s="5"/>
      <c r="K862" s="5"/>
      <c r="L862" s="5" t="s">
        <v>65</v>
      </c>
      <c r="M862" s="5"/>
    </row>
    <row r="863" ht="15.75" customHeight="1">
      <c r="A863" s="14">
        <v>46298.0</v>
      </c>
      <c r="B863" s="5" t="s">
        <v>4127</v>
      </c>
      <c r="C863" s="15">
        <v>0.6875</v>
      </c>
      <c r="D863" s="5" t="s">
        <v>2820</v>
      </c>
      <c r="E863" s="16" t="str">
        <f t="array" ref="E863">_xlfn.XLOOKUP(F863, Filmes!$D$2:$D$344, Filmes!$A$2:$A$344, "")</f>
        <v>289</v>
      </c>
      <c r="F863" s="7" t="s">
        <v>3496</v>
      </c>
      <c r="G863" s="17" t="s">
        <v>4128</v>
      </c>
      <c r="H863" s="17" t="s">
        <v>4129</v>
      </c>
      <c r="I863" s="19">
        <v>2.0</v>
      </c>
      <c r="J863" s="5"/>
      <c r="K863" s="5"/>
      <c r="L863" s="5" t="s">
        <v>65</v>
      </c>
      <c r="M863" s="5"/>
    </row>
    <row r="864" ht="15.75" customHeight="1">
      <c r="A864" s="14">
        <v>46300.0</v>
      </c>
      <c r="B864" s="5" t="s">
        <v>4132</v>
      </c>
      <c r="C864" s="15">
        <v>0.5729166666666666</v>
      </c>
      <c r="D864" s="5" t="s">
        <v>2820</v>
      </c>
      <c r="E864" s="16" t="str">
        <f t="array" ref="E864">_xlfn.XLOOKUP(F864, Filmes!$D$2:$D$344, Filmes!$A$2:$A$344, "")</f>
        <v>289</v>
      </c>
      <c r="F864" s="7" t="s">
        <v>3496</v>
      </c>
      <c r="G864" s="17" t="s">
        <v>4141</v>
      </c>
      <c r="H864" s="17" t="s">
        <v>4142</v>
      </c>
      <c r="I864" s="19"/>
      <c r="J864" s="5"/>
      <c r="K864" s="5"/>
      <c r="L864" s="5"/>
      <c r="M864" s="5"/>
    </row>
    <row r="865" ht="15.75" customHeight="1">
      <c r="A865" s="14">
        <v>46301.0</v>
      </c>
      <c r="B865" s="5" t="s">
        <v>4121</v>
      </c>
      <c r="C865" s="15">
        <v>0.5833333333333334</v>
      </c>
      <c r="D865" s="5" t="s">
        <v>2820</v>
      </c>
      <c r="E865" s="16" t="str">
        <f t="array" ref="E865">_xlfn.XLOOKUP(F865, Filmes!$D$2:$D$344, Filmes!$A$2:$A$344, "")</f>
        <v>289</v>
      </c>
      <c r="F865" s="7" t="s">
        <v>3496</v>
      </c>
      <c r="G865" s="17" t="s">
        <v>4139</v>
      </c>
      <c r="H865" s="17" t="s">
        <v>4140</v>
      </c>
      <c r="I865" s="19">
        <v>3.0</v>
      </c>
      <c r="J865" s="5"/>
      <c r="K865" s="5"/>
      <c r="L865" s="5"/>
      <c r="M865" s="5"/>
    </row>
    <row r="866" ht="15.75" customHeight="1">
      <c r="A866" s="14">
        <v>46304.0</v>
      </c>
      <c r="B866" s="5" t="s">
        <v>4135</v>
      </c>
      <c r="C866" s="15">
        <v>0.90625</v>
      </c>
      <c r="D866" s="5" t="s">
        <v>2820</v>
      </c>
      <c r="E866" s="16" t="str">
        <f t="array" ref="E866">_xlfn.XLOOKUP(F866, Filmes!$D$2:$D$344, Filmes!$A$2:$A$344, "")</f>
        <v>290</v>
      </c>
      <c r="F866" s="7" t="s">
        <v>3507</v>
      </c>
      <c r="G866" s="17" t="s">
        <v>4139</v>
      </c>
      <c r="H866" s="17" t="s">
        <v>4140</v>
      </c>
      <c r="I866" s="19">
        <v>5.0</v>
      </c>
      <c r="J866" s="5"/>
      <c r="K866" s="5"/>
      <c r="L866" s="5" t="s">
        <v>65</v>
      </c>
      <c r="M866" s="5"/>
    </row>
    <row r="867" ht="15.75" customHeight="1">
      <c r="A867" s="14">
        <v>46306.0</v>
      </c>
      <c r="B867" s="5" t="s">
        <v>4136</v>
      </c>
      <c r="C867" s="15">
        <v>0.6875</v>
      </c>
      <c r="D867" s="5" t="s">
        <v>2820</v>
      </c>
      <c r="E867" s="16" t="str">
        <f t="array" ref="E867">_xlfn.XLOOKUP(F867, Filmes!$D$2:$D$344, Filmes!$A$2:$A$344, "")</f>
        <v>290</v>
      </c>
      <c r="F867" s="7" t="s">
        <v>3507</v>
      </c>
      <c r="G867" s="17" t="s">
        <v>4130</v>
      </c>
      <c r="H867" s="17" t="s">
        <v>4131</v>
      </c>
      <c r="I867" s="19">
        <v>4.0</v>
      </c>
      <c r="J867" s="5"/>
      <c r="K867" s="5"/>
      <c r="L867" s="5"/>
      <c r="M867" s="5"/>
    </row>
    <row r="868" ht="15.75" customHeight="1">
      <c r="A868" s="14">
        <v>46303.0</v>
      </c>
      <c r="B868" s="5" t="s">
        <v>4124</v>
      </c>
      <c r="C868" s="15">
        <v>0.875</v>
      </c>
      <c r="D868" s="5" t="s">
        <v>2820</v>
      </c>
      <c r="E868" s="16" t="str">
        <f t="array" ref="E868">_xlfn.XLOOKUP(F868, Filmes!$D$2:$D$344, Filmes!$A$2:$A$344, "")</f>
        <v>291</v>
      </c>
      <c r="F868" s="7" t="s">
        <v>3522</v>
      </c>
      <c r="G868" s="17" t="s">
        <v>4152</v>
      </c>
      <c r="H868" s="17" t="s">
        <v>4153</v>
      </c>
      <c r="I868" s="19"/>
      <c r="J868" s="10"/>
      <c r="K868" s="5" t="s">
        <v>65</v>
      </c>
      <c r="L868" s="5" t="s">
        <v>65</v>
      </c>
      <c r="M868" s="5"/>
    </row>
    <row r="869" ht="15.75" customHeight="1">
      <c r="A869" s="14">
        <v>46304.0</v>
      </c>
      <c r="B869" s="5" t="s">
        <v>4135</v>
      </c>
      <c r="C869" s="15">
        <v>0.5833333333333334</v>
      </c>
      <c r="D869" s="5" t="s">
        <v>2820</v>
      </c>
      <c r="E869" s="16" t="str">
        <f t="array" ref="E869">_xlfn.XLOOKUP(F869, Filmes!$D$2:$D$344, Filmes!$A$2:$A$344, "")</f>
        <v>291</v>
      </c>
      <c r="F869" s="7" t="s">
        <v>3522</v>
      </c>
      <c r="G869" s="17" t="s">
        <v>4139</v>
      </c>
      <c r="H869" s="17" t="s">
        <v>4140</v>
      </c>
      <c r="I869" s="19">
        <v>5.0</v>
      </c>
      <c r="J869" s="5"/>
      <c r="K869" s="5"/>
      <c r="L869" s="5"/>
      <c r="M869" s="5"/>
    </row>
    <row r="870" ht="15.75" customHeight="1">
      <c r="A870" s="14">
        <v>46304.0</v>
      </c>
      <c r="B870" s="5" t="s">
        <v>4135</v>
      </c>
      <c r="C870" s="15">
        <v>0.5833333333333334</v>
      </c>
      <c r="D870" s="5" t="s">
        <v>2820</v>
      </c>
      <c r="E870" s="16" t="str">
        <f t="array" ref="E870">_xlfn.XLOOKUP(F870, Filmes!$D$2:$D$344, Filmes!$A$2:$A$344, "")</f>
        <v>291</v>
      </c>
      <c r="F870" s="7" t="s">
        <v>3522</v>
      </c>
      <c r="G870" s="17" t="s">
        <v>4137</v>
      </c>
      <c r="H870" s="17" t="s">
        <v>4138</v>
      </c>
      <c r="I870" s="19">
        <v>1.0</v>
      </c>
      <c r="J870" s="5"/>
      <c r="K870" s="5"/>
      <c r="L870" s="5"/>
      <c r="M870" s="5"/>
    </row>
    <row r="871" ht="15.75" customHeight="1">
      <c r="A871" s="14">
        <v>46302.0</v>
      </c>
      <c r="B871" s="5" t="s">
        <v>4143</v>
      </c>
      <c r="C871" s="15">
        <v>0.8854166666666666</v>
      </c>
      <c r="D871" s="5" t="s">
        <v>2820</v>
      </c>
      <c r="E871" s="16" t="str">
        <f t="array" ref="E871">_xlfn.XLOOKUP(F871, Filmes!$D$2:$D$344, Filmes!$A$2:$A$344, "")</f>
        <v>292</v>
      </c>
      <c r="F871" s="7" t="s">
        <v>3535</v>
      </c>
      <c r="G871" s="17" t="s">
        <v>4152</v>
      </c>
      <c r="H871" s="17" t="s">
        <v>4153</v>
      </c>
      <c r="I871" s="19"/>
      <c r="J871" s="10"/>
      <c r="K871" s="5" t="s">
        <v>65</v>
      </c>
      <c r="L871" s="5" t="s">
        <v>65</v>
      </c>
      <c r="M871" s="5"/>
    </row>
    <row r="872" ht="15.75" customHeight="1">
      <c r="A872" s="14">
        <v>46304.0</v>
      </c>
      <c r="B872" s="5" t="s">
        <v>4135</v>
      </c>
      <c r="C872" s="15">
        <v>0.78125</v>
      </c>
      <c r="D872" s="5" t="s">
        <v>2820</v>
      </c>
      <c r="E872" s="16" t="str">
        <f t="array" ref="E872">_xlfn.XLOOKUP(F872, Filmes!$D$2:$D$344, Filmes!$A$2:$A$344, "")</f>
        <v>292</v>
      </c>
      <c r="F872" s="7" t="s">
        <v>3535</v>
      </c>
      <c r="G872" s="17" t="s">
        <v>4130</v>
      </c>
      <c r="H872" s="17" t="s">
        <v>4131</v>
      </c>
      <c r="I872" s="19">
        <v>3.0</v>
      </c>
      <c r="J872" s="5"/>
      <c r="K872" s="5"/>
      <c r="L872" s="5"/>
      <c r="M872" s="5"/>
    </row>
    <row r="873" ht="15.75" customHeight="1">
      <c r="A873" s="14">
        <v>46306.0</v>
      </c>
      <c r="B873" s="5" t="s">
        <v>4136</v>
      </c>
      <c r="C873" s="15">
        <v>0.5833333333333334</v>
      </c>
      <c r="D873" s="5" t="s">
        <v>2820</v>
      </c>
      <c r="E873" s="16" t="str">
        <f t="array" ref="E873">_xlfn.XLOOKUP(F873, Filmes!$D$2:$D$344, Filmes!$A$2:$A$344, "")</f>
        <v>292</v>
      </c>
      <c r="F873" s="7" t="s">
        <v>3535</v>
      </c>
      <c r="G873" s="17" t="s">
        <v>4137</v>
      </c>
      <c r="H873" s="17" t="s">
        <v>4138</v>
      </c>
      <c r="I873" s="19">
        <v>1.0</v>
      </c>
      <c r="J873" s="5"/>
      <c r="K873" s="5"/>
      <c r="L873" s="5"/>
      <c r="M873" s="5"/>
    </row>
    <row r="874" ht="15.75" customHeight="1">
      <c r="A874" s="14">
        <v>46301.0</v>
      </c>
      <c r="B874" s="5" t="s">
        <v>4121</v>
      </c>
      <c r="C874" s="15">
        <v>0.78125</v>
      </c>
      <c r="D874" s="5" t="s">
        <v>2820</v>
      </c>
      <c r="E874" s="16" t="str">
        <f t="array" ref="E874">_xlfn.XLOOKUP(F874, Filmes!$D$2:$D$344, Filmes!$A$2:$A$344, "")</f>
        <v>293</v>
      </c>
      <c r="F874" s="7" t="s">
        <v>3548</v>
      </c>
      <c r="G874" s="17" t="s">
        <v>4128</v>
      </c>
      <c r="H874" s="17" t="s">
        <v>4129</v>
      </c>
      <c r="I874" s="19">
        <v>1.0</v>
      </c>
      <c r="J874" s="10" t="s">
        <v>4183</v>
      </c>
      <c r="K874" s="5"/>
      <c r="L874" s="5" t="s">
        <v>65</v>
      </c>
      <c r="M874" s="5"/>
    </row>
    <row r="875" ht="15.75" customHeight="1">
      <c r="A875" s="14">
        <v>46301.0</v>
      </c>
      <c r="B875" s="5" t="s">
        <v>4121</v>
      </c>
      <c r="C875" s="15">
        <v>0.78125</v>
      </c>
      <c r="D875" s="5" t="s">
        <v>2820</v>
      </c>
      <c r="E875" s="16" t="str">
        <f t="array" ref="E875">_xlfn.XLOOKUP(F875, Filmes!$D$2:$D$344, Filmes!$A$2:$A$344, "")</f>
        <v>293</v>
      </c>
      <c r="F875" s="7" t="s">
        <v>3548</v>
      </c>
      <c r="G875" s="17" t="s">
        <v>4128</v>
      </c>
      <c r="H875" s="17" t="s">
        <v>4129</v>
      </c>
      <c r="I875" s="19">
        <v>2.0</v>
      </c>
      <c r="J875" s="10" t="s">
        <v>4183</v>
      </c>
      <c r="K875" s="5"/>
      <c r="L875" s="5" t="s">
        <v>65</v>
      </c>
      <c r="M875" s="5"/>
    </row>
    <row r="876" ht="15.75" customHeight="1">
      <c r="A876" s="14">
        <v>46302.0</v>
      </c>
      <c r="B876" s="5" t="s">
        <v>4143</v>
      </c>
      <c r="C876" s="15">
        <v>0.6770833333333334</v>
      </c>
      <c r="D876" s="5" t="s">
        <v>2820</v>
      </c>
      <c r="E876" s="16" t="str">
        <f t="array" ref="E876">_xlfn.XLOOKUP(F876, Filmes!$D$2:$D$344, Filmes!$A$2:$A$344, "")</f>
        <v>293</v>
      </c>
      <c r="F876" s="7" t="s">
        <v>3548</v>
      </c>
      <c r="G876" s="17" t="s">
        <v>4139</v>
      </c>
      <c r="H876" s="17" t="s">
        <v>4140</v>
      </c>
      <c r="I876" s="19">
        <v>5.0</v>
      </c>
      <c r="J876" s="10" t="s">
        <v>4183</v>
      </c>
      <c r="K876" s="5"/>
      <c r="L876" s="5"/>
      <c r="M876" s="5" t="s">
        <v>65</v>
      </c>
    </row>
    <row r="877" ht="15.75" customHeight="1">
      <c r="A877" s="14">
        <v>46303.0</v>
      </c>
      <c r="B877" s="5" t="s">
        <v>4124</v>
      </c>
      <c r="C877" s="15">
        <v>0.5729166666666666</v>
      </c>
      <c r="D877" s="5" t="s">
        <v>2820</v>
      </c>
      <c r="E877" s="16" t="str">
        <f t="array" ref="E877">_xlfn.XLOOKUP(F877, Filmes!$D$2:$D$344, Filmes!$A$2:$A$344, "")</f>
        <v>293</v>
      </c>
      <c r="F877" s="7" t="s">
        <v>3548</v>
      </c>
      <c r="G877" s="17" t="s">
        <v>4130</v>
      </c>
      <c r="H877" s="17" t="s">
        <v>4131</v>
      </c>
      <c r="I877" s="19">
        <v>5.0</v>
      </c>
      <c r="J877" s="5" t="s">
        <v>4183</v>
      </c>
      <c r="K877" s="5"/>
      <c r="L877" s="5"/>
      <c r="M877" s="5"/>
    </row>
    <row r="878" ht="15.75" customHeight="1">
      <c r="A878" s="14">
        <v>46297.0</v>
      </c>
      <c r="B878" s="5" t="s">
        <v>4135</v>
      </c>
      <c r="C878" s="15">
        <v>0.8958333333333334</v>
      </c>
      <c r="D878" s="5" t="s">
        <v>2820</v>
      </c>
      <c r="E878" s="16" t="str">
        <f t="array" ref="E878">_xlfn.XLOOKUP(F878, Filmes!$D$2:$D$344, Filmes!$A$2:$A$344, "")</f>
        <v>294</v>
      </c>
      <c r="F878" s="7" t="s">
        <v>3559</v>
      </c>
      <c r="G878" s="17" t="s">
        <v>4130</v>
      </c>
      <c r="H878" s="17" t="s">
        <v>4131</v>
      </c>
      <c r="I878" s="19">
        <v>4.0</v>
      </c>
      <c r="J878" s="10" t="s">
        <v>4184</v>
      </c>
      <c r="K878" s="5"/>
      <c r="L878" s="5" t="s">
        <v>65</v>
      </c>
      <c r="M878" s="5"/>
    </row>
    <row r="879" ht="15.75" customHeight="1">
      <c r="A879" s="14">
        <v>46300.0</v>
      </c>
      <c r="B879" s="5" t="s">
        <v>4132</v>
      </c>
      <c r="C879" s="15">
        <v>0.6875</v>
      </c>
      <c r="D879" s="5" t="s">
        <v>2820</v>
      </c>
      <c r="E879" s="16" t="str">
        <f t="array" ref="E879">_xlfn.XLOOKUP(F879, Filmes!$D$2:$D$344, Filmes!$A$2:$A$344, "")</f>
        <v>294</v>
      </c>
      <c r="F879" s="7" t="s">
        <v>3559</v>
      </c>
      <c r="G879" s="17" t="s">
        <v>4139</v>
      </c>
      <c r="H879" s="17" t="s">
        <v>4140</v>
      </c>
      <c r="I879" s="19">
        <v>4.0</v>
      </c>
      <c r="J879" s="5" t="s">
        <v>4184</v>
      </c>
      <c r="K879" s="5"/>
      <c r="L879" s="5"/>
      <c r="M879" s="5"/>
    </row>
    <row r="880" ht="15.75" customHeight="1">
      <c r="A880" s="14">
        <v>46300.0</v>
      </c>
      <c r="B880" s="5" t="s">
        <v>4132</v>
      </c>
      <c r="C880" s="15">
        <v>0.8854166666666666</v>
      </c>
      <c r="D880" s="5" t="s">
        <v>2820</v>
      </c>
      <c r="E880" s="16" t="str">
        <f t="array" ref="E880">_xlfn.XLOOKUP(F880, Filmes!$D$2:$D$344, Filmes!$A$2:$A$344, "")</f>
        <v>295</v>
      </c>
      <c r="F880" s="7" t="s">
        <v>3572</v>
      </c>
      <c r="G880" s="17" t="s">
        <v>4139</v>
      </c>
      <c r="H880" s="17" t="s">
        <v>4140</v>
      </c>
      <c r="I880" s="19">
        <v>5.0</v>
      </c>
      <c r="J880" s="5"/>
      <c r="K880" s="5"/>
      <c r="L880" s="5" t="s">
        <v>65</v>
      </c>
      <c r="M880" s="5"/>
    </row>
    <row r="881" ht="15.75" customHeight="1">
      <c r="A881" s="14">
        <v>46302.0</v>
      </c>
      <c r="B881" s="5" t="s">
        <v>4143</v>
      </c>
      <c r="C881" s="15">
        <v>0.6666666666666666</v>
      </c>
      <c r="D881" s="5" t="s">
        <v>2820</v>
      </c>
      <c r="E881" s="16" t="str">
        <f t="array" ref="E881">_xlfn.XLOOKUP(F881, Filmes!$D$2:$D$344, Filmes!$A$2:$A$344, "")</f>
        <v>295</v>
      </c>
      <c r="F881" s="7" t="s">
        <v>3572</v>
      </c>
      <c r="G881" s="17" t="s">
        <v>4130</v>
      </c>
      <c r="H881" s="17" t="s">
        <v>4131</v>
      </c>
      <c r="I881" s="19">
        <v>2.0</v>
      </c>
      <c r="J881" s="5"/>
      <c r="K881" s="5"/>
      <c r="L881" s="5"/>
      <c r="M881" s="5"/>
    </row>
    <row r="882" ht="15.75" customHeight="1">
      <c r="A882" s="14">
        <v>46300.0</v>
      </c>
      <c r="B882" s="5" t="s">
        <v>4132</v>
      </c>
      <c r="C882" s="15">
        <v>0.8958333333333334</v>
      </c>
      <c r="D882" s="5" t="s">
        <v>2820</v>
      </c>
      <c r="E882" s="16" t="str">
        <f t="array" ref="E882">_xlfn.XLOOKUP(F882, Filmes!$D$2:$D$344, Filmes!$A$2:$A$344, "")</f>
        <v>296</v>
      </c>
      <c r="F882" s="7" t="s">
        <v>3585</v>
      </c>
      <c r="G882" s="17" t="s">
        <v>4128</v>
      </c>
      <c r="H882" s="17" t="s">
        <v>4129</v>
      </c>
      <c r="I882" s="19">
        <v>1.0</v>
      </c>
      <c r="J882" s="5"/>
      <c r="K882" s="5"/>
      <c r="L882" s="5" t="s">
        <v>65</v>
      </c>
      <c r="M882" s="5"/>
    </row>
    <row r="883" ht="15.75" customHeight="1">
      <c r="A883" s="14">
        <v>46300.0</v>
      </c>
      <c r="B883" s="5" t="s">
        <v>4132</v>
      </c>
      <c r="C883" s="15">
        <v>0.8958333333333334</v>
      </c>
      <c r="D883" s="5" t="s">
        <v>2820</v>
      </c>
      <c r="E883" s="16" t="str">
        <f t="array" ref="E883">_xlfn.XLOOKUP(F883, Filmes!$D$2:$D$344, Filmes!$A$2:$A$344, "")</f>
        <v>296</v>
      </c>
      <c r="F883" s="7" t="s">
        <v>3585</v>
      </c>
      <c r="G883" s="17" t="s">
        <v>4128</v>
      </c>
      <c r="H883" s="17" t="s">
        <v>4129</v>
      </c>
      <c r="I883" s="19">
        <v>2.0</v>
      </c>
      <c r="J883" s="5"/>
      <c r="K883" s="5"/>
      <c r="L883" s="5" t="s">
        <v>65</v>
      </c>
      <c r="M883" s="5"/>
    </row>
    <row r="884" ht="15.75" customHeight="1">
      <c r="A884" s="14">
        <v>46301.0</v>
      </c>
      <c r="B884" s="5" t="s">
        <v>4121</v>
      </c>
      <c r="C884" s="15">
        <v>0.5729166666666666</v>
      </c>
      <c r="D884" s="5" t="s">
        <v>2820</v>
      </c>
      <c r="E884" s="16" t="str">
        <f t="array" ref="E884">_xlfn.XLOOKUP(F884, Filmes!$D$2:$D$344, Filmes!$A$2:$A$344, "")</f>
        <v>296</v>
      </c>
      <c r="F884" s="7" t="s">
        <v>3585</v>
      </c>
      <c r="G884" s="17" t="s">
        <v>4141</v>
      </c>
      <c r="H884" s="17" t="s">
        <v>4142</v>
      </c>
      <c r="I884" s="19"/>
      <c r="J884" s="5"/>
      <c r="K884" s="5"/>
      <c r="L884" s="5"/>
      <c r="M884" s="5"/>
    </row>
    <row r="885" ht="15.75" customHeight="1">
      <c r="A885" s="14">
        <v>46302.0</v>
      </c>
      <c r="B885" s="5" t="s">
        <v>4143</v>
      </c>
      <c r="C885" s="15">
        <v>0.5833333333333334</v>
      </c>
      <c r="D885" s="5" t="s">
        <v>2820</v>
      </c>
      <c r="E885" s="16" t="str">
        <f t="array" ref="E885">_xlfn.XLOOKUP(F885, Filmes!$D$2:$D$344, Filmes!$A$2:$A$344, "")</f>
        <v>296</v>
      </c>
      <c r="F885" s="7" t="s">
        <v>3585</v>
      </c>
      <c r="G885" s="17" t="s">
        <v>4139</v>
      </c>
      <c r="H885" s="17" t="s">
        <v>4140</v>
      </c>
      <c r="I885" s="19">
        <v>3.0</v>
      </c>
      <c r="J885" s="5"/>
      <c r="K885" s="5"/>
      <c r="L885" s="5"/>
      <c r="M885" s="5"/>
    </row>
    <row r="886" ht="15.75" customHeight="1">
      <c r="A886" s="14">
        <v>46300.0</v>
      </c>
      <c r="B886" s="5" t="s">
        <v>4132</v>
      </c>
      <c r="C886" s="15">
        <v>0.78125</v>
      </c>
      <c r="D886" s="5" t="s">
        <v>2820</v>
      </c>
      <c r="E886" s="16" t="str">
        <f t="array" ref="E886">_xlfn.XLOOKUP(F886, Filmes!$D$2:$D$344, Filmes!$A$2:$A$344, "")</f>
        <v>297</v>
      </c>
      <c r="F886" s="7" t="s">
        <v>3596</v>
      </c>
      <c r="G886" s="17" t="s">
        <v>4152</v>
      </c>
      <c r="H886" s="17" t="s">
        <v>4153</v>
      </c>
      <c r="I886" s="19"/>
      <c r="J886" s="10"/>
      <c r="K886" s="5" t="s">
        <v>65</v>
      </c>
      <c r="L886" s="5" t="s">
        <v>65</v>
      </c>
      <c r="M886" s="5"/>
    </row>
    <row r="887" ht="15.75" customHeight="1">
      <c r="A887" s="14">
        <v>46301.0</v>
      </c>
      <c r="B887" s="5" t="s">
        <v>4121</v>
      </c>
      <c r="C887" s="15">
        <v>0.75</v>
      </c>
      <c r="D887" s="5" t="s">
        <v>2820</v>
      </c>
      <c r="E887" s="16" t="str">
        <f t="array" ref="E887">_xlfn.XLOOKUP(F887, Filmes!$D$2:$D$344, Filmes!$A$2:$A$344, "")</f>
        <v>297</v>
      </c>
      <c r="F887" s="7" t="s">
        <v>3596</v>
      </c>
      <c r="G887" s="17" t="s">
        <v>4133</v>
      </c>
      <c r="H887" s="17" t="s">
        <v>4134</v>
      </c>
      <c r="I887" s="19">
        <v>1.0</v>
      </c>
      <c r="J887" s="5"/>
      <c r="K887" s="5"/>
      <c r="L887" s="5"/>
      <c r="M887" s="5"/>
    </row>
    <row r="888" ht="15.75" customHeight="1">
      <c r="A888" s="14">
        <v>46301.0</v>
      </c>
      <c r="B888" s="5" t="s">
        <v>4121</v>
      </c>
      <c r="C888" s="15">
        <v>0.7916666666666666</v>
      </c>
      <c r="D888" s="5" t="s">
        <v>2820</v>
      </c>
      <c r="E888" s="16" t="str">
        <f t="array" ref="E888">_xlfn.XLOOKUP(F888, Filmes!$D$2:$D$344, Filmes!$A$2:$A$344, "")</f>
        <v>297</v>
      </c>
      <c r="F888" s="7" t="s">
        <v>3596</v>
      </c>
      <c r="G888" s="17" t="s">
        <v>4139</v>
      </c>
      <c r="H888" s="17" t="s">
        <v>4140</v>
      </c>
      <c r="I888" s="19">
        <v>5.0</v>
      </c>
      <c r="J888" s="5"/>
      <c r="K888" s="5"/>
      <c r="L888" s="5"/>
      <c r="M888" s="5" t="s">
        <v>65</v>
      </c>
    </row>
    <row r="889" ht="15.75" customHeight="1">
      <c r="A889" s="14">
        <v>46303.0</v>
      </c>
      <c r="B889" s="5" t="s">
        <v>4124</v>
      </c>
      <c r="C889" s="15">
        <v>0.78125</v>
      </c>
      <c r="D889" s="5" t="s">
        <v>2820</v>
      </c>
      <c r="E889" s="16" t="str">
        <f t="array" ref="E889">_xlfn.XLOOKUP(F889, Filmes!$D$2:$D$344, Filmes!$A$2:$A$344, "")</f>
        <v>298</v>
      </c>
      <c r="F889" s="7" t="s">
        <v>3606</v>
      </c>
      <c r="G889" s="17" t="s">
        <v>4128</v>
      </c>
      <c r="H889" s="17" t="s">
        <v>4129</v>
      </c>
      <c r="I889" s="19">
        <v>1.0</v>
      </c>
      <c r="J889" s="5"/>
      <c r="K889" s="5"/>
      <c r="L889" s="5" t="s">
        <v>65</v>
      </c>
      <c r="M889" s="5"/>
    </row>
    <row r="890" ht="15.75" customHeight="1">
      <c r="A890" s="14">
        <v>46303.0</v>
      </c>
      <c r="B890" s="5" t="s">
        <v>4124</v>
      </c>
      <c r="C890" s="15">
        <v>0.78125</v>
      </c>
      <c r="D890" s="5" t="s">
        <v>2820</v>
      </c>
      <c r="E890" s="16" t="str">
        <f t="array" ref="E890">_xlfn.XLOOKUP(F890, Filmes!$D$2:$D$344, Filmes!$A$2:$A$344, "")</f>
        <v>298</v>
      </c>
      <c r="F890" s="7" t="s">
        <v>3606</v>
      </c>
      <c r="G890" s="17" t="s">
        <v>4128</v>
      </c>
      <c r="H890" s="17" t="s">
        <v>4129</v>
      </c>
      <c r="I890" s="19">
        <v>2.0</v>
      </c>
      <c r="J890" s="5"/>
      <c r="K890" s="5"/>
      <c r="L890" s="5" t="s">
        <v>65</v>
      </c>
      <c r="M890" s="5"/>
    </row>
    <row r="891" ht="15.75" customHeight="1">
      <c r="A891" s="14">
        <v>46304.0</v>
      </c>
      <c r="B891" s="5" t="s">
        <v>4135</v>
      </c>
      <c r="C891" s="15">
        <v>0.6770833333333334</v>
      </c>
      <c r="D891" s="5" t="s">
        <v>2820</v>
      </c>
      <c r="E891" s="16" t="str">
        <f t="array" ref="E891">_xlfn.XLOOKUP(F891, Filmes!$D$2:$D$344, Filmes!$A$2:$A$344, "")</f>
        <v>298</v>
      </c>
      <c r="F891" s="7" t="s">
        <v>3606</v>
      </c>
      <c r="G891" s="17" t="s">
        <v>4139</v>
      </c>
      <c r="H891" s="17" t="s">
        <v>4140</v>
      </c>
      <c r="I891" s="19">
        <v>5.0</v>
      </c>
      <c r="J891" s="5"/>
      <c r="K891" s="5"/>
      <c r="L891" s="5"/>
      <c r="M891" s="5" t="s">
        <v>65</v>
      </c>
    </row>
    <row r="892" ht="15.75" customHeight="1">
      <c r="A892" s="14">
        <v>46305.0</v>
      </c>
      <c r="B892" s="5" t="s">
        <v>4127</v>
      </c>
      <c r="C892" s="15">
        <v>0.5729166666666666</v>
      </c>
      <c r="D892" s="5" t="s">
        <v>2820</v>
      </c>
      <c r="E892" s="16" t="str">
        <f t="array" ref="E892">_xlfn.XLOOKUP(F892, Filmes!$D$2:$D$344, Filmes!$A$2:$A$344, "")</f>
        <v>298</v>
      </c>
      <c r="F892" s="7" t="s">
        <v>3606</v>
      </c>
      <c r="G892" s="17" t="s">
        <v>4130</v>
      </c>
      <c r="H892" s="17" t="s">
        <v>4131</v>
      </c>
      <c r="I892" s="19">
        <v>5.0</v>
      </c>
      <c r="J892" s="5"/>
      <c r="K892" s="5"/>
      <c r="L892" s="5"/>
      <c r="M892" s="5"/>
    </row>
    <row r="893" ht="15.75" customHeight="1">
      <c r="A893" s="14">
        <v>46298.0</v>
      </c>
      <c r="B893" s="5" t="s">
        <v>4127</v>
      </c>
      <c r="C893" s="15">
        <v>0.90625</v>
      </c>
      <c r="D893" s="5" t="s">
        <v>2820</v>
      </c>
      <c r="E893" s="16" t="str">
        <f t="array" ref="E893">_xlfn.XLOOKUP(F893, Filmes!$D$2:$D$344, Filmes!$A$2:$A$344, "")</f>
        <v>299</v>
      </c>
      <c r="F893" s="7" t="s">
        <v>3615</v>
      </c>
      <c r="G893" s="17" t="s">
        <v>4122</v>
      </c>
      <c r="H893" s="17" t="s">
        <v>4123</v>
      </c>
      <c r="I893" s="19"/>
      <c r="J893" s="5"/>
      <c r="K893" s="5"/>
      <c r="L893" s="5" t="s">
        <v>65</v>
      </c>
      <c r="M893" s="5"/>
    </row>
    <row r="894" ht="15.75" customHeight="1">
      <c r="A894" s="14">
        <v>46305.0</v>
      </c>
      <c r="B894" s="5" t="s">
        <v>4127</v>
      </c>
      <c r="C894" s="15">
        <v>0.5833333333333334</v>
      </c>
      <c r="D894" s="5" t="s">
        <v>2820</v>
      </c>
      <c r="E894" s="16" t="str">
        <f t="array" ref="E894">_xlfn.XLOOKUP(F894, Filmes!$D$2:$D$344, Filmes!$A$2:$A$344, "")</f>
        <v>299</v>
      </c>
      <c r="F894" s="7" t="s">
        <v>3615</v>
      </c>
      <c r="G894" s="17" t="s">
        <v>4125</v>
      </c>
      <c r="H894" s="17" t="s">
        <v>4126</v>
      </c>
      <c r="I894" s="19">
        <v>2.0</v>
      </c>
      <c r="J894" s="5"/>
      <c r="K894" s="5"/>
      <c r="L894" s="5"/>
      <c r="M894" s="5"/>
    </row>
    <row r="895" ht="15.75" customHeight="1">
      <c r="A895" s="14">
        <v>46306.0</v>
      </c>
      <c r="B895" s="5" t="s">
        <v>4136</v>
      </c>
      <c r="C895" s="15">
        <v>0.7916666666666666</v>
      </c>
      <c r="D895" s="5" t="s">
        <v>2820</v>
      </c>
      <c r="E895" s="16" t="str">
        <f t="array" ref="E895">_xlfn.XLOOKUP(F895, Filmes!$D$2:$D$344, Filmes!$A$2:$A$344, "")</f>
        <v>299</v>
      </c>
      <c r="F895" s="7" t="s">
        <v>3615</v>
      </c>
      <c r="G895" s="17" t="s">
        <v>4137</v>
      </c>
      <c r="H895" s="17" t="s">
        <v>4138</v>
      </c>
      <c r="I895" s="19">
        <v>1.0</v>
      </c>
      <c r="J895" s="5"/>
      <c r="K895" s="5"/>
      <c r="L895" s="5"/>
      <c r="M895" s="5"/>
    </row>
    <row r="896" ht="15.75" customHeight="1">
      <c r="A896" s="14">
        <v>46304.0</v>
      </c>
      <c r="B896" s="5" t="s">
        <v>4135</v>
      </c>
      <c r="C896" s="15">
        <v>0.8854166666666666</v>
      </c>
      <c r="D896" s="5" t="s">
        <v>2820</v>
      </c>
      <c r="E896" s="16" t="str">
        <f t="array" ref="E896">_xlfn.XLOOKUP(F896, Filmes!$D$2:$D$344, Filmes!$A$2:$A$344, "")</f>
        <v>300</v>
      </c>
      <c r="F896" s="7" t="s">
        <v>3628</v>
      </c>
      <c r="G896" s="17" t="s">
        <v>4152</v>
      </c>
      <c r="H896" s="17" t="s">
        <v>4153</v>
      </c>
      <c r="I896" s="19"/>
      <c r="J896" s="10"/>
      <c r="K896" s="5" t="s">
        <v>65</v>
      </c>
      <c r="L896" s="5" t="s">
        <v>65</v>
      </c>
      <c r="M896" s="5"/>
    </row>
    <row r="897" ht="15.75" customHeight="1">
      <c r="A897" s="14">
        <v>46305.0</v>
      </c>
      <c r="B897" s="5" t="s">
        <v>4127</v>
      </c>
      <c r="C897" s="15">
        <v>0.7916666666666666</v>
      </c>
      <c r="D897" s="5" t="s">
        <v>2820</v>
      </c>
      <c r="E897" s="16" t="str">
        <f t="array" ref="E897">_xlfn.XLOOKUP(F897, Filmes!$D$2:$D$344, Filmes!$A$2:$A$344, "")</f>
        <v>300</v>
      </c>
      <c r="F897" s="7" t="s">
        <v>3628</v>
      </c>
      <c r="G897" s="17" t="s">
        <v>4139</v>
      </c>
      <c r="H897" s="17" t="s">
        <v>4140</v>
      </c>
      <c r="I897" s="19">
        <v>5.0</v>
      </c>
      <c r="J897" s="5"/>
      <c r="K897" s="5"/>
      <c r="L897" s="5"/>
      <c r="M897" s="5" t="s">
        <v>65</v>
      </c>
    </row>
    <row r="898" ht="15.75" customHeight="1">
      <c r="A898" s="14">
        <v>46306.0</v>
      </c>
      <c r="B898" s="5" t="s">
        <v>4136</v>
      </c>
      <c r="C898" s="15">
        <v>0.75</v>
      </c>
      <c r="D898" s="5" t="s">
        <v>2820</v>
      </c>
      <c r="E898" s="16" t="str">
        <f t="array" ref="E898">_xlfn.XLOOKUP(F898, Filmes!$D$2:$D$344, Filmes!$A$2:$A$344, "")</f>
        <v>300</v>
      </c>
      <c r="F898" s="7" t="s">
        <v>3628</v>
      </c>
      <c r="G898" s="17" t="s">
        <v>4133</v>
      </c>
      <c r="H898" s="17" t="s">
        <v>4134</v>
      </c>
      <c r="I898" s="19">
        <v>1.0</v>
      </c>
      <c r="J898" s="5"/>
      <c r="K898" s="5"/>
      <c r="L898" s="5"/>
      <c r="M898" s="5"/>
    </row>
    <row r="899" ht="15.75" customHeight="1">
      <c r="A899" s="14">
        <v>46304.0</v>
      </c>
      <c r="B899" s="5" t="s">
        <v>4135</v>
      </c>
      <c r="C899" s="15">
        <v>0.7604166666666666</v>
      </c>
      <c r="D899" s="5" t="s">
        <v>2820</v>
      </c>
      <c r="E899" s="16" t="str">
        <f t="array" ref="E899">_xlfn.XLOOKUP(F899, Filmes!$D$2:$D$344, Filmes!$A$2:$A$344, "")</f>
        <v>301</v>
      </c>
      <c r="F899" s="7" t="s">
        <v>3638</v>
      </c>
      <c r="G899" s="17" t="s">
        <v>4128</v>
      </c>
      <c r="H899" s="17" t="s">
        <v>4129</v>
      </c>
      <c r="I899" s="19">
        <v>3.0</v>
      </c>
      <c r="J899" s="5"/>
      <c r="K899" s="5"/>
      <c r="L899" s="5" t="s">
        <v>65</v>
      </c>
      <c r="M899" s="5"/>
    </row>
    <row r="900" ht="15.75" customHeight="1">
      <c r="A900" s="14">
        <v>46305.0</v>
      </c>
      <c r="B900" s="5" t="s">
        <v>4127</v>
      </c>
      <c r="C900" s="15">
        <v>0.5833333333333334</v>
      </c>
      <c r="D900" s="5" t="s">
        <v>2820</v>
      </c>
      <c r="E900" s="16" t="str">
        <f t="array" ref="E900">_xlfn.XLOOKUP(F900, Filmes!$D$2:$D$344, Filmes!$A$2:$A$344, "")</f>
        <v>301</v>
      </c>
      <c r="F900" s="7" t="s">
        <v>3638</v>
      </c>
      <c r="G900" s="17" t="s">
        <v>4152</v>
      </c>
      <c r="H900" s="17" t="s">
        <v>4153</v>
      </c>
      <c r="I900" s="19"/>
      <c r="J900" s="10"/>
      <c r="K900" s="5" t="s">
        <v>65</v>
      </c>
      <c r="L900" s="5" t="s">
        <v>65</v>
      </c>
      <c r="M900" s="5"/>
    </row>
    <row r="901" ht="15.75" customHeight="1">
      <c r="A901" s="14">
        <v>46304.0</v>
      </c>
      <c r="B901" s="5" t="s">
        <v>4135</v>
      </c>
      <c r="C901" s="15">
        <v>0.8645833333333334</v>
      </c>
      <c r="D901" s="5" t="s">
        <v>2820</v>
      </c>
      <c r="E901" s="16" t="str">
        <f t="array" ref="E901">_xlfn.XLOOKUP(F901, Filmes!$D$2:$D$344, Filmes!$A$2:$A$344, "")</f>
        <v>302</v>
      </c>
      <c r="F901" s="7" t="s">
        <v>3650</v>
      </c>
      <c r="G901" s="17" t="s">
        <v>4128</v>
      </c>
      <c r="H901" s="17" t="s">
        <v>4129</v>
      </c>
      <c r="I901" s="19">
        <v>3.0</v>
      </c>
      <c r="J901" s="5"/>
      <c r="K901" s="5"/>
      <c r="L901" s="5" t="s">
        <v>65</v>
      </c>
      <c r="M901" s="5"/>
    </row>
    <row r="902" ht="15.75" customHeight="1">
      <c r="A902" s="14">
        <v>46305.0</v>
      </c>
      <c r="B902" s="5" t="s">
        <v>4127</v>
      </c>
      <c r="C902" s="15">
        <v>0.6770833333333334</v>
      </c>
      <c r="D902" s="5" t="s">
        <v>2820</v>
      </c>
      <c r="E902" s="16" t="str">
        <f t="array" ref="E902">_xlfn.XLOOKUP(F902, Filmes!$D$2:$D$344, Filmes!$A$2:$A$344, "")</f>
        <v>302</v>
      </c>
      <c r="F902" s="7" t="s">
        <v>3650</v>
      </c>
      <c r="G902" s="17" t="s">
        <v>4139</v>
      </c>
      <c r="H902" s="17" t="s">
        <v>4140</v>
      </c>
      <c r="I902" s="19">
        <v>3.0</v>
      </c>
      <c r="J902" s="5"/>
      <c r="K902" s="5"/>
      <c r="L902" s="5" t="s">
        <v>65</v>
      </c>
      <c r="M902" s="5"/>
    </row>
    <row r="903" ht="15.75" customHeight="1">
      <c r="A903" s="14">
        <v>46299.0</v>
      </c>
      <c r="B903" s="5" t="s">
        <v>4136</v>
      </c>
      <c r="C903" s="15">
        <v>0.78125</v>
      </c>
      <c r="D903" s="5" t="s">
        <v>2820</v>
      </c>
      <c r="E903" s="16" t="str">
        <f t="array" ref="E903">_xlfn.XLOOKUP(F903, Filmes!$D$2:$D$344, Filmes!$A$2:$A$344, "")</f>
        <v>303</v>
      </c>
      <c r="F903" s="7" t="s">
        <v>3662</v>
      </c>
      <c r="G903" s="17" t="s">
        <v>4128</v>
      </c>
      <c r="H903" s="17" t="s">
        <v>4129</v>
      </c>
      <c r="I903" s="19">
        <v>1.0</v>
      </c>
      <c r="J903" s="5"/>
      <c r="K903" s="5"/>
      <c r="L903" s="5" t="s">
        <v>65</v>
      </c>
      <c r="M903" s="5"/>
    </row>
    <row r="904" ht="15.75" customHeight="1">
      <c r="A904" s="14">
        <v>46299.0</v>
      </c>
      <c r="B904" s="5" t="s">
        <v>4136</v>
      </c>
      <c r="C904" s="15">
        <v>0.78125</v>
      </c>
      <c r="D904" s="5" t="s">
        <v>2820</v>
      </c>
      <c r="E904" s="16" t="str">
        <f t="array" ref="E904">_xlfn.XLOOKUP(F904, Filmes!$D$2:$D$344, Filmes!$A$2:$A$344, "")</f>
        <v>303</v>
      </c>
      <c r="F904" s="7" t="s">
        <v>3662</v>
      </c>
      <c r="G904" s="17" t="s">
        <v>4128</v>
      </c>
      <c r="H904" s="17" t="s">
        <v>4129</v>
      </c>
      <c r="I904" s="19">
        <v>2.0</v>
      </c>
      <c r="J904" s="5"/>
      <c r="K904" s="5"/>
      <c r="L904" s="5" t="s">
        <v>65</v>
      </c>
      <c r="M904" s="5"/>
    </row>
    <row r="905" ht="15.75" customHeight="1">
      <c r="A905" s="14">
        <v>46300.0</v>
      </c>
      <c r="B905" s="5" t="s">
        <v>4132</v>
      </c>
      <c r="C905" s="15">
        <v>0.6770833333333334</v>
      </c>
      <c r="D905" s="5" t="s">
        <v>2820</v>
      </c>
      <c r="E905" s="16" t="str">
        <f t="array" ref="E905">_xlfn.XLOOKUP(F905, Filmes!$D$2:$D$344, Filmes!$A$2:$A$344, "")</f>
        <v>303</v>
      </c>
      <c r="F905" s="7" t="s">
        <v>3662</v>
      </c>
      <c r="G905" s="17" t="s">
        <v>4139</v>
      </c>
      <c r="H905" s="17" t="s">
        <v>4140</v>
      </c>
      <c r="I905" s="19">
        <v>5.0</v>
      </c>
      <c r="J905" s="5"/>
      <c r="K905" s="5"/>
      <c r="L905" s="5"/>
      <c r="M905" s="5" t="s">
        <v>65</v>
      </c>
    </row>
    <row r="906" ht="15.75" customHeight="1">
      <c r="A906" s="14">
        <v>46301.0</v>
      </c>
      <c r="B906" s="5" t="s">
        <v>4121</v>
      </c>
      <c r="C906" s="15">
        <v>0.5729166666666666</v>
      </c>
      <c r="D906" s="5" t="s">
        <v>2820</v>
      </c>
      <c r="E906" s="16" t="str">
        <f t="array" ref="E906">_xlfn.XLOOKUP(F906, Filmes!$D$2:$D$344, Filmes!$A$2:$A$344, "")</f>
        <v>303</v>
      </c>
      <c r="F906" s="7" t="s">
        <v>3662</v>
      </c>
      <c r="G906" s="17" t="s">
        <v>4130</v>
      </c>
      <c r="H906" s="17" t="s">
        <v>4131</v>
      </c>
      <c r="I906" s="19">
        <v>5.0</v>
      </c>
      <c r="J906" s="5"/>
      <c r="K906" s="5"/>
      <c r="L906" s="5"/>
      <c r="M906" s="5"/>
    </row>
    <row r="907" ht="15.75" customHeight="1">
      <c r="A907" s="14">
        <v>46300.0</v>
      </c>
      <c r="B907" s="5" t="s">
        <v>4132</v>
      </c>
      <c r="C907" s="15">
        <v>0.90625</v>
      </c>
      <c r="D907" s="5" t="s">
        <v>2820</v>
      </c>
      <c r="E907" s="16" t="str">
        <f t="array" ref="E907">_xlfn.XLOOKUP(F907, Filmes!$D$2:$D$344, Filmes!$A$2:$A$344, "")</f>
        <v>304</v>
      </c>
      <c r="F907" s="7" t="s">
        <v>3675</v>
      </c>
      <c r="G907" s="17" t="s">
        <v>4128</v>
      </c>
      <c r="H907" s="17" t="s">
        <v>4129</v>
      </c>
      <c r="I907" s="19">
        <v>4.0</v>
      </c>
      <c r="J907" s="5"/>
      <c r="K907" s="5"/>
      <c r="L907" s="5" t="s">
        <v>65</v>
      </c>
      <c r="M907" s="5"/>
    </row>
    <row r="908" ht="15.75" customHeight="1">
      <c r="A908" s="14">
        <v>46300.0</v>
      </c>
      <c r="B908" s="5" t="s">
        <v>4132</v>
      </c>
      <c r="C908" s="15">
        <v>0.90625</v>
      </c>
      <c r="D908" s="5" t="s">
        <v>2820</v>
      </c>
      <c r="E908" s="16" t="str">
        <f t="array" ref="E908">_xlfn.XLOOKUP(F908, Filmes!$D$2:$D$344, Filmes!$A$2:$A$344, "")</f>
        <v>304</v>
      </c>
      <c r="F908" s="7" t="s">
        <v>3675</v>
      </c>
      <c r="G908" s="17" t="s">
        <v>4128</v>
      </c>
      <c r="H908" s="17" t="s">
        <v>4129</v>
      </c>
      <c r="I908" s="19">
        <v>5.0</v>
      </c>
      <c r="J908" s="5"/>
      <c r="K908" s="5"/>
      <c r="L908" s="5" t="s">
        <v>65</v>
      </c>
      <c r="M908" s="5"/>
    </row>
    <row r="909" ht="15.75" customHeight="1">
      <c r="A909" s="14">
        <v>46301.0</v>
      </c>
      <c r="B909" s="5" t="s">
        <v>4121</v>
      </c>
      <c r="C909" s="15">
        <v>0.6875</v>
      </c>
      <c r="D909" s="5" t="s">
        <v>2820</v>
      </c>
      <c r="E909" s="16" t="str">
        <f t="array" ref="E909">_xlfn.XLOOKUP(F909, Filmes!$D$2:$D$344, Filmes!$A$2:$A$344, "")</f>
        <v>304</v>
      </c>
      <c r="F909" s="7" t="s">
        <v>3675</v>
      </c>
      <c r="G909" s="17" t="s">
        <v>4122</v>
      </c>
      <c r="H909" s="17" t="s">
        <v>4123</v>
      </c>
      <c r="I909" s="19"/>
      <c r="J909" s="10"/>
      <c r="K909" s="5" t="s">
        <v>65</v>
      </c>
      <c r="L909" s="5"/>
      <c r="M909" s="5" t="s">
        <v>65</v>
      </c>
    </row>
    <row r="910" ht="15.75" customHeight="1">
      <c r="A910" s="14">
        <v>46302.0</v>
      </c>
      <c r="B910" s="5" t="s">
        <v>4143</v>
      </c>
      <c r="C910" s="15">
        <v>0.8854166666666666</v>
      </c>
      <c r="D910" s="5" t="s">
        <v>2820</v>
      </c>
      <c r="E910" s="16" t="str">
        <f t="array" ref="E910">_xlfn.XLOOKUP(F910, Filmes!$D$2:$D$344, Filmes!$A$2:$A$344, "")</f>
        <v>304</v>
      </c>
      <c r="F910" s="7" t="s">
        <v>3675</v>
      </c>
      <c r="G910" s="17" t="s">
        <v>4130</v>
      </c>
      <c r="H910" s="17" t="s">
        <v>4131</v>
      </c>
      <c r="I910" s="19">
        <v>5.0</v>
      </c>
      <c r="J910" s="5"/>
      <c r="K910" s="5"/>
      <c r="L910" s="5"/>
      <c r="M910" s="5"/>
    </row>
    <row r="911" ht="15.75" customHeight="1">
      <c r="A911" s="14">
        <v>46301.0</v>
      </c>
      <c r="B911" s="5" t="s">
        <v>4121</v>
      </c>
      <c r="C911" s="15">
        <v>0.8958333333333334</v>
      </c>
      <c r="D911" s="5" t="s">
        <v>2820</v>
      </c>
      <c r="E911" s="16" t="str">
        <f t="array" ref="E911">_xlfn.XLOOKUP(F911, Filmes!$D$2:$D$344, Filmes!$A$2:$A$344, "")</f>
        <v>305</v>
      </c>
      <c r="F911" s="7" t="s">
        <v>3687</v>
      </c>
      <c r="G911" s="17" t="s">
        <v>4128</v>
      </c>
      <c r="H911" s="17" t="s">
        <v>4129</v>
      </c>
      <c r="I911" s="19">
        <v>1.0</v>
      </c>
      <c r="J911" s="5"/>
      <c r="K911" s="5"/>
      <c r="L911" s="5" t="s">
        <v>65</v>
      </c>
      <c r="M911" s="5"/>
    </row>
    <row r="912" ht="15.75" customHeight="1">
      <c r="A912" s="14">
        <v>46301.0</v>
      </c>
      <c r="B912" s="5" t="s">
        <v>4121</v>
      </c>
      <c r="C912" s="15">
        <v>0.8958333333333334</v>
      </c>
      <c r="D912" s="5" t="s">
        <v>2820</v>
      </c>
      <c r="E912" s="16" t="str">
        <f t="array" ref="E912">_xlfn.XLOOKUP(F912, Filmes!$D$2:$D$344, Filmes!$A$2:$A$344, "")</f>
        <v>305</v>
      </c>
      <c r="F912" s="7" t="s">
        <v>3687</v>
      </c>
      <c r="G912" s="17" t="s">
        <v>4128</v>
      </c>
      <c r="H912" s="17" t="s">
        <v>4129</v>
      </c>
      <c r="I912" s="19">
        <v>2.0</v>
      </c>
      <c r="J912" s="5"/>
      <c r="K912" s="5"/>
      <c r="L912" s="5" t="s">
        <v>65</v>
      </c>
      <c r="M912" s="5"/>
    </row>
    <row r="913" ht="15.75" customHeight="1">
      <c r="A913" s="14">
        <v>46302.0</v>
      </c>
      <c r="B913" s="5" t="s">
        <v>4143</v>
      </c>
      <c r="C913" s="15">
        <v>0.5729166666666666</v>
      </c>
      <c r="D913" s="5" t="s">
        <v>2820</v>
      </c>
      <c r="E913" s="16" t="str">
        <f t="array" ref="E913">_xlfn.XLOOKUP(F913, Filmes!$D$2:$D$344, Filmes!$A$2:$A$344, "")</f>
        <v>305</v>
      </c>
      <c r="F913" s="7" t="s">
        <v>3687</v>
      </c>
      <c r="G913" s="17" t="s">
        <v>4141</v>
      </c>
      <c r="H913" s="17" t="s">
        <v>4142</v>
      </c>
      <c r="I913" s="19"/>
      <c r="J913" s="5"/>
      <c r="K913" s="5"/>
      <c r="L913" s="5"/>
      <c r="M913" s="5"/>
    </row>
    <row r="914" ht="15.75" customHeight="1">
      <c r="A914" s="14">
        <v>46303.0</v>
      </c>
      <c r="B914" s="5" t="s">
        <v>4124</v>
      </c>
      <c r="C914" s="15">
        <v>0.5833333333333334</v>
      </c>
      <c r="D914" s="5" t="s">
        <v>2820</v>
      </c>
      <c r="E914" s="16" t="str">
        <f t="array" ref="E914">_xlfn.XLOOKUP(F914, Filmes!$D$2:$D$344, Filmes!$A$2:$A$344, "")</f>
        <v>305</v>
      </c>
      <c r="F914" s="7" t="s">
        <v>3687</v>
      </c>
      <c r="G914" s="17" t="s">
        <v>4139</v>
      </c>
      <c r="H914" s="17" t="s">
        <v>4140</v>
      </c>
      <c r="I914" s="19">
        <v>3.0</v>
      </c>
      <c r="J914" s="5"/>
      <c r="K914" s="5"/>
      <c r="L914" s="5"/>
      <c r="M914" s="5"/>
    </row>
    <row r="915" ht="15.75" customHeight="1">
      <c r="A915" s="14">
        <v>46297.0</v>
      </c>
      <c r="B915" s="5" t="s">
        <v>4135</v>
      </c>
      <c r="C915" s="15">
        <v>0.8020833333333334</v>
      </c>
      <c r="D915" s="5" t="s">
        <v>2820</v>
      </c>
      <c r="E915" s="16" t="str">
        <f t="array" ref="E915">_xlfn.XLOOKUP(F915, Filmes!$D$2:$D$344, Filmes!$A$2:$A$344, "")</f>
        <v>306</v>
      </c>
      <c r="F915" s="7" t="s">
        <v>3701</v>
      </c>
      <c r="G915" s="17" t="s">
        <v>4128</v>
      </c>
      <c r="H915" s="17" t="s">
        <v>4129</v>
      </c>
      <c r="I915" s="19">
        <v>4.0</v>
      </c>
      <c r="J915" s="5"/>
      <c r="K915" s="5"/>
      <c r="L915" s="5" t="s">
        <v>65</v>
      </c>
      <c r="M915" s="5"/>
    </row>
    <row r="916" ht="15.75" customHeight="1">
      <c r="A916" s="14">
        <v>46297.0</v>
      </c>
      <c r="B916" s="5" t="s">
        <v>4135</v>
      </c>
      <c r="C916" s="15">
        <v>0.8020833333333334</v>
      </c>
      <c r="D916" s="5" t="s">
        <v>2820</v>
      </c>
      <c r="E916" s="16" t="str">
        <f t="array" ref="E916">_xlfn.XLOOKUP(F916, Filmes!$D$2:$D$344, Filmes!$A$2:$A$344, "")</f>
        <v>306</v>
      </c>
      <c r="F916" s="7" t="s">
        <v>3701</v>
      </c>
      <c r="G916" s="17" t="s">
        <v>4128</v>
      </c>
      <c r="H916" s="17" t="s">
        <v>4129</v>
      </c>
      <c r="I916" s="19">
        <v>5.0</v>
      </c>
      <c r="J916" s="5"/>
      <c r="K916" s="5"/>
      <c r="L916" s="5" t="s">
        <v>65</v>
      </c>
      <c r="M916" s="5"/>
    </row>
    <row r="917" ht="15.75" customHeight="1">
      <c r="A917" s="14">
        <v>46298.0</v>
      </c>
      <c r="B917" s="5" t="s">
        <v>4127</v>
      </c>
      <c r="C917" s="15">
        <v>0.5625</v>
      </c>
      <c r="D917" s="5" t="s">
        <v>2820</v>
      </c>
      <c r="E917" s="16" t="str">
        <f t="array" ref="E917">_xlfn.XLOOKUP(F917, Filmes!$D$2:$D$344, Filmes!$A$2:$A$344, "")</f>
        <v>306</v>
      </c>
      <c r="F917" s="7" t="s">
        <v>3701</v>
      </c>
      <c r="G917" s="17" t="s">
        <v>4122</v>
      </c>
      <c r="H917" s="17" t="s">
        <v>4123</v>
      </c>
      <c r="I917" s="19"/>
      <c r="J917" s="10"/>
      <c r="K917" s="5" t="s">
        <v>65</v>
      </c>
      <c r="L917" s="5"/>
      <c r="M917" s="5" t="s">
        <v>65</v>
      </c>
    </row>
    <row r="918" ht="15.75" customHeight="1">
      <c r="A918" s="14">
        <v>46299.0</v>
      </c>
      <c r="B918" s="5" t="s">
        <v>4136</v>
      </c>
      <c r="C918" s="15">
        <v>0.78125</v>
      </c>
      <c r="D918" s="5" t="s">
        <v>2820</v>
      </c>
      <c r="E918" s="16" t="str">
        <f t="array" ref="E918">_xlfn.XLOOKUP(F918, Filmes!$D$2:$D$344, Filmes!$A$2:$A$344, "")</f>
        <v>306</v>
      </c>
      <c r="F918" s="7" t="s">
        <v>3701</v>
      </c>
      <c r="G918" s="17" t="s">
        <v>4130</v>
      </c>
      <c r="H918" s="17" t="s">
        <v>4131</v>
      </c>
      <c r="I918" s="19">
        <v>5.0</v>
      </c>
      <c r="J918" s="5"/>
      <c r="K918" s="5"/>
      <c r="L918" s="5"/>
      <c r="M918" s="5"/>
    </row>
    <row r="919" ht="15.75" customHeight="1">
      <c r="A919" s="14">
        <v>46305.0</v>
      </c>
      <c r="B919" s="5" t="s">
        <v>4127</v>
      </c>
      <c r="C919" s="15">
        <v>0.6944444444444444</v>
      </c>
      <c r="D919" s="5" t="s">
        <v>2820</v>
      </c>
      <c r="E919" s="16" t="str">
        <f t="array" ref="E919">_xlfn.XLOOKUP(F919, Filmes!$D$2:$D$344, Filmes!$A$2:$A$344, "")</f>
        <v>306</v>
      </c>
      <c r="F919" s="7" t="s">
        <v>3701</v>
      </c>
      <c r="G919" s="17" t="s">
        <v>4137</v>
      </c>
      <c r="H919" s="17" t="s">
        <v>4138</v>
      </c>
      <c r="I919" s="19">
        <v>1.0</v>
      </c>
      <c r="J919" s="5"/>
      <c r="K919" s="5"/>
      <c r="L919" s="5"/>
      <c r="M919" s="5"/>
    </row>
    <row r="920" ht="15.75" customHeight="1">
      <c r="A920" s="14">
        <v>46302.0</v>
      </c>
      <c r="B920" s="5" t="s">
        <v>4143</v>
      </c>
      <c r="C920" s="15">
        <v>0.6770833333333334</v>
      </c>
      <c r="D920" s="5" t="s">
        <v>2820</v>
      </c>
      <c r="E920" s="16" t="str">
        <f t="array" ref="E920">_xlfn.XLOOKUP(F920, Filmes!$D$2:$D$344, Filmes!$A$2:$A$344, "")</f>
        <v>307</v>
      </c>
      <c r="F920" s="7" t="s">
        <v>3712</v>
      </c>
      <c r="G920" s="17" t="s">
        <v>4130</v>
      </c>
      <c r="H920" s="17" t="s">
        <v>4131</v>
      </c>
      <c r="I920" s="19">
        <v>3.0</v>
      </c>
      <c r="J920" s="5"/>
      <c r="K920" s="5"/>
      <c r="L920" s="5" t="s">
        <v>65</v>
      </c>
      <c r="M920" s="5"/>
    </row>
    <row r="921" ht="15.75" customHeight="1">
      <c r="A921" s="14">
        <v>46297.0</v>
      </c>
      <c r="B921" s="5" t="s">
        <v>4135</v>
      </c>
      <c r="C921" s="15">
        <v>0.90625</v>
      </c>
      <c r="D921" s="5" t="s">
        <v>2820</v>
      </c>
      <c r="E921" s="16" t="str">
        <f t="array" ref="E921">_xlfn.XLOOKUP(F921, Filmes!$D$2:$D$344, Filmes!$A$2:$A$344, "")</f>
        <v>308</v>
      </c>
      <c r="F921" s="7" t="s">
        <v>3721</v>
      </c>
      <c r="G921" s="17" t="s">
        <v>4128</v>
      </c>
      <c r="H921" s="17" t="s">
        <v>4129</v>
      </c>
      <c r="I921" s="19">
        <v>4.0</v>
      </c>
      <c r="J921" s="5"/>
      <c r="K921" s="5"/>
      <c r="L921" s="5" t="s">
        <v>65</v>
      </c>
      <c r="M921" s="5"/>
    </row>
    <row r="922" ht="15.75" customHeight="1">
      <c r="A922" s="14">
        <v>46297.0</v>
      </c>
      <c r="B922" s="5" t="s">
        <v>4135</v>
      </c>
      <c r="C922" s="15">
        <v>0.90625</v>
      </c>
      <c r="D922" s="5" t="s">
        <v>2820</v>
      </c>
      <c r="E922" s="16" t="str">
        <f t="array" ref="E922">_xlfn.XLOOKUP(F922, Filmes!$D$2:$D$344, Filmes!$A$2:$A$344, "")</f>
        <v>308</v>
      </c>
      <c r="F922" s="7" t="s">
        <v>3721</v>
      </c>
      <c r="G922" s="17" t="s">
        <v>4128</v>
      </c>
      <c r="H922" s="17" t="s">
        <v>4129</v>
      </c>
      <c r="I922" s="19">
        <v>5.0</v>
      </c>
      <c r="J922" s="5"/>
      <c r="K922" s="5"/>
      <c r="L922" s="5" t="s">
        <v>65</v>
      </c>
      <c r="M922" s="5"/>
    </row>
    <row r="923" ht="15.75" customHeight="1">
      <c r="A923" s="14">
        <v>46298.0</v>
      </c>
      <c r="B923" s="5" t="s">
        <v>4127</v>
      </c>
      <c r="C923" s="15">
        <v>0.6875</v>
      </c>
      <c r="D923" s="5" t="s">
        <v>2820</v>
      </c>
      <c r="E923" s="16" t="str">
        <f t="array" ref="E923">_xlfn.XLOOKUP(F923, Filmes!$D$2:$D$344, Filmes!$A$2:$A$344, "")</f>
        <v>308</v>
      </c>
      <c r="F923" s="7" t="s">
        <v>3721</v>
      </c>
      <c r="G923" s="17" t="s">
        <v>4122</v>
      </c>
      <c r="H923" s="17" t="s">
        <v>4123</v>
      </c>
      <c r="I923" s="19"/>
      <c r="J923" s="10"/>
      <c r="K923" s="5" t="s">
        <v>65</v>
      </c>
      <c r="L923" s="5"/>
      <c r="M923" s="5" t="s">
        <v>65</v>
      </c>
    </row>
    <row r="924" ht="15.75" customHeight="1">
      <c r="A924" s="14">
        <v>46299.0</v>
      </c>
      <c r="B924" s="5" t="s">
        <v>4136</v>
      </c>
      <c r="C924" s="15">
        <v>0.8854166666666666</v>
      </c>
      <c r="D924" s="5" t="s">
        <v>2820</v>
      </c>
      <c r="E924" s="16" t="str">
        <f t="array" ref="E924">_xlfn.XLOOKUP(F924, Filmes!$D$2:$D$344, Filmes!$A$2:$A$344, "")</f>
        <v>308</v>
      </c>
      <c r="F924" s="7" t="s">
        <v>3721</v>
      </c>
      <c r="G924" s="17" t="s">
        <v>4130</v>
      </c>
      <c r="H924" s="17" t="s">
        <v>4131</v>
      </c>
      <c r="I924" s="19">
        <v>5.0</v>
      </c>
      <c r="J924" s="5"/>
      <c r="K924" s="5"/>
      <c r="L924" s="5"/>
      <c r="M924" s="5"/>
    </row>
    <row r="925" ht="15.75" customHeight="1">
      <c r="A925" s="14">
        <v>46303.0</v>
      </c>
      <c r="B925" s="5" t="s">
        <v>4124</v>
      </c>
      <c r="C925" s="15">
        <v>0.78125</v>
      </c>
      <c r="D925" s="5" t="s">
        <v>2820</v>
      </c>
      <c r="E925" s="16" t="str">
        <f t="array" ref="E925">_xlfn.XLOOKUP(F925, Filmes!$D$2:$D$344, Filmes!$A$2:$A$344, "")</f>
        <v>309</v>
      </c>
      <c r="F925" s="7" t="s">
        <v>3733</v>
      </c>
      <c r="G925" s="17" t="s">
        <v>4128</v>
      </c>
      <c r="H925" s="17" t="s">
        <v>4129</v>
      </c>
      <c r="I925" s="19">
        <v>1.0</v>
      </c>
      <c r="J925" s="10" t="s">
        <v>4185</v>
      </c>
      <c r="K925" s="5"/>
      <c r="L925" s="5" t="s">
        <v>65</v>
      </c>
      <c r="M925" s="5"/>
    </row>
    <row r="926" ht="15.75" customHeight="1">
      <c r="A926" s="14">
        <v>46303.0</v>
      </c>
      <c r="B926" s="5" t="s">
        <v>4124</v>
      </c>
      <c r="C926" s="15">
        <v>0.78125</v>
      </c>
      <c r="D926" s="5" t="s">
        <v>2820</v>
      </c>
      <c r="E926" s="16" t="str">
        <f t="array" ref="E926">_xlfn.XLOOKUP(F926, Filmes!$D$2:$D$344, Filmes!$A$2:$A$344, "")</f>
        <v>309</v>
      </c>
      <c r="F926" s="7" t="s">
        <v>3733</v>
      </c>
      <c r="G926" s="17" t="s">
        <v>4128</v>
      </c>
      <c r="H926" s="17" t="s">
        <v>4129</v>
      </c>
      <c r="I926" s="19">
        <v>2.0</v>
      </c>
      <c r="J926" s="10" t="s">
        <v>4185</v>
      </c>
      <c r="K926" s="5"/>
      <c r="L926" s="5" t="s">
        <v>65</v>
      </c>
      <c r="M926" s="5"/>
    </row>
    <row r="927" ht="15.75" customHeight="1">
      <c r="A927" s="14">
        <v>46304.0</v>
      </c>
      <c r="B927" s="5" t="s">
        <v>4135</v>
      </c>
      <c r="C927" s="15">
        <v>0.6770833333333334</v>
      </c>
      <c r="D927" s="5" t="s">
        <v>2820</v>
      </c>
      <c r="E927" s="16" t="str">
        <f t="array" ref="E927">_xlfn.XLOOKUP(F927, Filmes!$D$2:$D$344, Filmes!$A$2:$A$344, "")</f>
        <v>309</v>
      </c>
      <c r="F927" s="7" t="s">
        <v>3733</v>
      </c>
      <c r="G927" s="17" t="s">
        <v>4139</v>
      </c>
      <c r="H927" s="17" t="s">
        <v>4140</v>
      </c>
      <c r="I927" s="19">
        <v>5.0</v>
      </c>
      <c r="J927" s="10" t="s">
        <v>4185</v>
      </c>
      <c r="K927" s="5"/>
      <c r="L927" s="5"/>
      <c r="M927" s="5" t="s">
        <v>65</v>
      </c>
    </row>
    <row r="928" ht="15.75" customHeight="1">
      <c r="A928" s="14">
        <v>46305.0</v>
      </c>
      <c r="B928" s="5" t="s">
        <v>4127</v>
      </c>
      <c r="C928" s="15">
        <v>0.5729166666666666</v>
      </c>
      <c r="D928" s="5" t="s">
        <v>2820</v>
      </c>
      <c r="E928" s="16" t="str">
        <f t="array" ref="E928">_xlfn.XLOOKUP(F928, Filmes!$D$2:$D$344, Filmes!$A$2:$A$344, "")</f>
        <v>309</v>
      </c>
      <c r="F928" s="7" t="s">
        <v>3733</v>
      </c>
      <c r="G928" s="17" t="s">
        <v>4130</v>
      </c>
      <c r="H928" s="17" t="s">
        <v>4131</v>
      </c>
      <c r="I928" s="19">
        <v>5.0</v>
      </c>
      <c r="J928" s="5" t="s">
        <v>4185</v>
      </c>
      <c r="K928" s="5"/>
      <c r="L928" s="5"/>
      <c r="M928" s="5"/>
    </row>
    <row r="929" ht="15.75" customHeight="1">
      <c r="A929" s="14">
        <v>46298.0</v>
      </c>
      <c r="B929" s="5" t="s">
        <v>4127</v>
      </c>
      <c r="C929" s="15">
        <v>0.78125</v>
      </c>
      <c r="D929" s="5" t="s">
        <v>2820</v>
      </c>
      <c r="E929" s="16" t="str">
        <f t="array" ref="E929">_xlfn.XLOOKUP(F929, Filmes!$D$2:$D$344, Filmes!$A$2:$A$344, "")</f>
        <v>310</v>
      </c>
      <c r="F929" s="7" t="s">
        <v>3744</v>
      </c>
      <c r="G929" s="17" t="s">
        <v>4128</v>
      </c>
      <c r="H929" s="17" t="s">
        <v>4129</v>
      </c>
      <c r="I929" s="19">
        <v>1.0</v>
      </c>
      <c r="J929" s="10" t="s">
        <v>4186</v>
      </c>
      <c r="K929" s="5"/>
      <c r="L929" s="5" t="s">
        <v>65</v>
      </c>
      <c r="M929" s="5"/>
    </row>
    <row r="930" ht="15.75" customHeight="1">
      <c r="A930" s="14">
        <v>46298.0</v>
      </c>
      <c r="B930" s="5" t="s">
        <v>4127</v>
      </c>
      <c r="C930" s="15">
        <v>0.78125</v>
      </c>
      <c r="D930" s="5" t="s">
        <v>2820</v>
      </c>
      <c r="E930" s="16" t="str">
        <f t="array" ref="E930">_xlfn.XLOOKUP(F930, Filmes!$D$2:$D$344, Filmes!$A$2:$A$344, "")</f>
        <v>310</v>
      </c>
      <c r="F930" s="7" t="s">
        <v>3744</v>
      </c>
      <c r="G930" s="17" t="s">
        <v>4128</v>
      </c>
      <c r="H930" s="17" t="s">
        <v>4129</v>
      </c>
      <c r="I930" s="19">
        <v>2.0</v>
      </c>
      <c r="J930" s="10" t="s">
        <v>4186</v>
      </c>
      <c r="K930" s="5"/>
      <c r="L930" s="5" t="s">
        <v>65</v>
      </c>
      <c r="M930" s="5"/>
    </row>
    <row r="931" ht="15.75" customHeight="1">
      <c r="A931" s="14">
        <v>46299.0</v>
      </c>
      <c r="B931" s="5" t="s">
        <v>4136</v>
      </c>
      <c r="C931" s="15">
        <v>0.6770833333333334</v>
      </c>
      <c r="D931" s="5" t="s">
        <v>2820</v>
      </c>
      <c r="E931" s="16" t="str">
        <f t="array" ref="E931">_xlfn.XLOOKUP(F931, Filmes!$D$2:$D$344, Filmes!$A$2:$A$344, "")</f>
        <v>310</v>
      </c>
      <c r="F931" s="7" t="s">
        <v>3744</v>
      </c>
      <c r="G931" s="17" t="s">
        <v>4139</v>
      </c>
      <c r="H931" s="17" t="s">
        <v>4140</v>
      </c>
      <c r="I931" s="19">
        <v>5.0</v>
      </c>
      <c r="J931" s="10" t="s">
        <v>4186</v>
      </c>
      <c r="K931" s="5"/>
      <c r="L931" s="5"/>
      <c r="M931" s="5" t="s">
        <v>65</v>
      </c>
    </row>
    <row r="932" ht="15.75" customHeight="1">
      <c r="A932" s="14">
        <v>46300.0</v>
      </c>
      <c r="B932" s="5" t="s">
        <v>4132</v>
      </c>
      <c r="C932" s="15">
        <v>0.5729166666666666</v>
      </c>
      <c r="D932" s="5" t="s">
        <v>2820</v>
      </c>
      <c r="E932" s="16" t="str">
        <f t="array" ref="E932">_xlfn.XLOOKUP(F932, Filmes!$D$2:$D$344, Filmes!$A$2:$A$344, "")</f>
        <v>310</v>
      </c>
      <c r="F932" s="7" t="s">
        <v>3744</v>
      </c>
      <c r="G932" s="17" t="s">
        <v>4130</v>
      </c>
      <c r="H932" s="17" t="s">
        <v>4131</v>
      </c>
      <c r="I932" s="19">
        <v>5.0</v>
      </c>
      <c r="J932" s="5" t="s">
        <v>4186</v>
      </c>
      <c r="K932" s="5"/>
      <c r="L932" s="5"/>
      <c r="M932" s="5"/>
    </row>
    <row r="933" ht="15.75" customHeight="1">
      <c r="A933" s="14">
        <v>46301.0</v>
      </c>
      <c r="B933" s="5" t="s">
        <v>4121</v>
      </c>
      <c r="C933" s="15">
        <v>0.90625</v>
      </c>
      <c r="D933" s="5" t="s">
        <v>2820</v>
      </c>
      <c r="E933" s="16" t="str">
        <f t="array" ref="E933">_xlfn.XLOOKUP(F933, Filmes!$D$2:$D$344, Filmes!$A$2:$A$344, "")</f>
        <v>311</v>
      </c>
      <c r="F933" s="7" t="s">
        <v>3756</v>
      </c>
      <c r="G933" s="17" t="s">
        <v>4130</v>
      </c>
      <c r="H933" s="17" t="s">
        <v>4131</v>
      </c>
      <c r="I933" s="19">
        <v>6.0</v>
      </c>
      <c r="J933" s="5"/>
      <c r="K933" s="5"/>
      <c r="L933" s="5" t="s">
        <v>65</v>
      </c>
      <c r="M933" s="5"/>
    </row>
    <row r="934" ht="15.75" customHeight="1">
      <c r="A934" s="14">
        <v>46306.0</v>
      </c>
      <c r="B934" s="5" t="s">
        <v>4136</v>
      </c>
      <c r="C934" s="15">
        <v>0.6770833333333334</v>
      </c>
      <c r="D934" s="5" t="s">
        <v>2820</v>
      </c>
      <c r="E934" s="16" t="str">
        <f t="array" ref="E934">_xlfn.XLOOKUP(F934, Filmes!$D$2:$D$344, Filmes!$A$2:$A$344, "")</f>
        <v>311</v>
      </c>
      <c r="F934" s="7" t="s">
        <v>3756</v>
      </c>
      <c r="G934" s="17" t="s">
        <v>4139</v>
      </c>
      <c r="H934" s="17" t="s">
        <v>4140</v>
      </c>
      <c r="I934" s="19">
        <v>3.0</v>
      </c>
      <c r="J934" s="5"/>
      <c r="K934" s="5"/>
      <c r="L934" s="5"/>
      <c r="M934" s="5"/>
    </row>
    <row r="935" ht="15.75" customHeight="1">
      <c r="A935" s="14">
        <v>46305.0</v>
      </c>
      <c r="B935" s="5" t="s">
        <v>4127</v>
      </c>
      <c r="C935" s="15">
        <v>0.7083333333333334</v>
      </c>
      <c r="D935" s="5" t="s">
        <v>2820</v>
      </c>
      <c r="E935" s="16" t="str">
        <f t="array" ref="E935">_xlfn.XLOOKUP(F935, Filmes!$D$2:$D$344, Filmes!$A$2:$A$344, "")</f>
        <v>312</v>
      </c>
      <c r="F935" s="7" t="s">
        <v>3765</v>
      </c>
      <c r="G935" s="17" t="s">
        <v>4128</v>
      </c>
      <c r="H935" s="17" t="s">
        <v>4129</v>
      </c>
      <c r="I935" s="19">
        <v>4.0</v>
      </c>
      <c r="J935" s="5"/>
      <c r="K935" s="5"/>
      <c r="L935" s="5" t="s">
        <v>65</v>
      </c>
      <c r="M935" s="5"/>
    </row>
    <row r="936" ht="15.75" customHeight="1">
      <c r="A936" s="14">
        <v>46305.0</v>
      </c>
      <c r="B936" s="5" t="s">
        <v>4127</v>
      </c>
      <c r="C936" s="15">
        <v>0.7083333333333334</v>
      </c>
      <c r="D936" s="5" t="s">
        <v>2820</v>
      </c>
      <c r="E936" s="16" t="str">
        <f t="array" ref="E936">_xlfn.XLOOKUP(F936, Filmes!$D$2:$D$344, Filmes!$A$2:$A$344, "")</f>
        <v>312</v>
      </c>
      <c r="F936" s="7" t="s">
        <v>3765</v>
      </c>
      <c r="G936" s="17" t="s">
        <v>4128</v>
      </c>
      <c r="H936" s="17" t="s">
        <v>4129</v>
      </c>
      <c r="I936" s="19">
        <v>5.0</v>
      </c>
      <c r="J936" s="5"/>
      <c r="K936" s="5"/>
      <c r="L936" s="5" t="s">
        <v>65</v>
      </c>
      <c r="M936" s="5"/>
    </row>
    <row r="937" ht="15.75" customHeight="1">
      <c r="A937" s="14">
        <v>46305.0</v>
      </c>
      <c r="B937" s="5" t="s">
        <v>4127</v>
      </c>
      <c r="C937" s="15">
        <v>0.8854166666666666</v>
      </c>
      <c r="D937" s="5" t="s">
        <v>2820</v>
      </c>
      <c r="E937" s="16" t="str">
        <f t="array" ref="E937">_xlfn.XLOOKUP(F937, Filmes!$D$2:$D$344, Filmes!$A$2:$A$344, "")</f>
        <v>313</v>
      </c>
      <c r="F937" s="7" t="s">
        <v>3777</v>
      </c>
      <c r="G937" s="17" t="s">
        <v>4152</v>
      </c>
      <c r="H937" s="17" t="s">
        <v>4153</v>
      </c>
      <c r="I937" s="19"/>
      <c r="J937" s="10"/>
      <c r="K937" s="5" t="s">
        <v>65</v>
      </c>
      <c r="L937" s="5" t="s">
        <v>65</v>
      </c>
      <c r="M937" s="5"/>
    </row>
    <row r="938" ht="15.75" customHeight="1">
      <c r="A938" s="14">
        <v>46302.0</v>
      </c>
      <c r="B938" s="5" t="s">
        <v>4143</v>
      </c>
      <c r="C938" s="15">
        <v>0.78125</v>
      </c>
      <c r="D938" s="5" t="s">
        <v>2820</v>
      </c>
      <c r="E938" s="16" t="str">
        <f t="array" ref="E938">_xlfn.XLOOKUP(F938, Filmes!$D$2:$D$344, Filmes!$A$2:$A$344, "")</f>
        <v>314</v>
      </c>
      <c r="F938" s="7" t="s">
        <v>3783</v>
      </c>
      <c r="G938" s="17" t="s">
        <v>4130</v>
      </c>
      <c r="H938" s="17" t="s">
        <v>4131</v>
      </c>
      <c r="I938" s="19">
        <v>3.0</v>
      </c>
      <c r="J938" s="5"/>
      <c r="K938" s="5"/>
      <c r="L938" s="5" t="s">
        <v>65</v>
      </c>
      <c r="M938" s="5"/>
    </row>
    <row r="939" ht="15.75" customHeight="1">
      <c r="A939" s="14">
        <v>46302.0</v>
      </c>
      <c r="B939" s="5" t="s">
        <v>4143</v>
      </c>
      <c r="C939" s="15">
        <v>0.78125</v>
      </c>
      <c r="D939" s="5" t="s">
        <v>2820</v>
      </c>
      <c r="E939" s="16" t="str">
        <f t="array" ref="E939">_xlfn.XLOOKUP(F939, Filmes!$D$2:$D$344, Filmes!$A$2:$A$344, "")</f>
        <v>315</v>
      </c>
      <c r="F939" s="7" t="s">
        <v>3790</v>
      </c>
      <c r="G939" s="17" t="s">
        <v>4152</v>
      </c>
      <c r="H939" s="17" t="s">
        <v>4153</v>
      </c>
      <c r="I939" s="19"/>
      <c r="J939" s="10"/>
      <c r="K939" s="5" t="s">
        <v>65</v>
      </c>
      <c r="L939" s="5" t="s">
        <v>65</v>
      </c>
      <c r="M939" s="5"/>
    </row>
    <row r="940" ht="15.75" customHeight="1">
      <c r="A940" s="14">
        <v>46304.0</v>
      </c>
      <c r="B940" s="5" t="s">
        <v>4135</v>
      </c>
      <c r="C940" s="15">
        <v>0.6875</v>
      </c>
      <c r="D940" s="5" t="s">
        <v>2820</v>
      </c>
      <c r="E940" s="16" t="str">
        <f t="array" ref="E940">_xlfn.XLOOKUP(F940, Filmes!$D$2:$D$344, Filmes!$A$2:$A$344, "")</f>
        <v>315</v>
      </c>
      <c r="F940" s="7" t="s">
        <v>3790</v>
      </c>
      <c r="G940" s="17" t="s">
        <v>4130</v>
      </c>
      <c r="H940" s="17" t="s">
        <v>4131</v>
      </c>
      <c r="I940" s="19">
        <v>1.0</v>
      </c>
      <c r="J940" s="5"/>
      <c r="K940" s="5"/>
      <c r="L940" s="5"/>
      <c r="M940" s="5"/>
    </row>
    <row r="941" ht="15.75" customHeight="1">
      <c r="A941" s="14">
        <v>46303.0</v>
      </c>
      <c r="B941" s="5" t="s">
        <v>4124</v>
      </c>
      <c r="C941" s="15">
        <v>0.90625</v>
      </c>
      <c r="D941" s="5" t="s">
        <v>2820</v>
      </c>
      <c r="E941" s="16" t="str">
        <f t="array" ref="E941">_xlfn.XLOOKUP(F941, Filmes!$D$2:$D$344, Filmes!$A$2:$A$344, "")</f>
        <v>316</v>
      </c>
      <c r="F941" s="7" t="s">
        <v>3801</v>
      </c>
      <c r="G941" s="17" t="s">
        <v>4128</v>
      </c>
      <c r="H941" s="17" t="s">
        <v>4129</v>
      </c>
      <c r="I941" s="19">
        <v>4.0</v>
      </c>
      <c r="J941" s="10" t="s">
        <v>4187</v>
      </c>
      <c r="K941" s="5"/>
      <c r="L941" s="5" t="s">
        <v>65</v>
      </c>
      <c r="M941" s="5"/>
    </row>
    <row r="942" ht="15.75" customHeight="1">
      <c r="A942" s="14">
        <v>46303.0</v>
      </c>
      <c r="B942" s="5" t="s">
        <v>4124</v>
      </c>
      <c r="C942" s="15">
        <v>0.90625</v>
      </c>
      <c r="D942" s="5" t="s">
        <v>2820</v>
      </c>
      <c r="E942" s="16" t="str">
        <f t="array" ref="E942">_xlfn.XLOOKUP(F942, Filmes!$D$2:$D$344, Filmes!$A$2:$A$344, "")</f>
        <v>316</v>
      </c>
      <c r="F942" s="7" t="s">
        <v>3801</v>
      </c>
      <c r="G942" s="17" t="s">
        <v>4128</v>
      </c>
      <c r="H942" s="17" t="s">
        <v>4129</v>
      </c>
      <c r="I942" s="19">
        <v>5.0</v>
      </c>
      <c r="J942" s="10" t="s">
        <v>4187</v>
      </c>
      <c r="K942" s="5"/>
      <c r="L942" s="5" t="s">
        <v>65</v>
      </c>
      <c r="M942" s="5"/>
    </row>
    <row r="943" ht="15.75" customHeight="1">
      <c r="A943" s="14">
        <v>46304.0</v>
      </c>
      <c r="B943" s="5" t="s">
        <v>4135</v>
      </c>
      <c r="C943" s="15">
        <v>0.6770833333333334</v>
      </c>
      <c r="D943" s="5" t="s">
        <v>2820</v>
      </c>
      <c r="E943" s="16" t="str">
        <f t="array" ref="E943">_xlfn.XLOOKUP(F943, Filmes!$D$2:$D$344, Filmes!$A$2:$A$344, "")</f>
        <v>316</v>
      </c>
      <c r="F943" s="7" t="s">
        <v>3801</v>
      </c>
      <c r="G943" s="17" t="s">
        <v>4122</v>
      </c>
      <c r="H943" s="17" t="s">
        <v>4123</v>
      </c>
      <c r="I943" s="19"/>
      <c r="J943" s="10" t="s">
        <v>4187</v>
      </c>
      <c r="K943" s="5" t="s">
        <v>65</v>
      </c>
      <c r="L943" s="5"/>
      <c r="M943" s="5" t="s">
        <v>65</v>
      </c>
    </row>
    <row r="944" ht="15.75" customHeight="1">
      <c r="A944" s="14">
        <v>46305.0</v>
      </c>
      <c r="B944" s="5" t="s">
        <v>4127</v>
      </c>
      <c r="C944" s="15">
        <v>0.8854166666666666</v>
      </c>
      <c r="D944" s="5" t="s">
        <v>2820</v>
      </c>
      <c r="E944" s="16" t="str">
        <f t="array" ref="E944">_xlfn.XLOOKUP(F944, Filmes!$D$2:$D$344, Filmes!$A$2:$A$344, "")</f>
        <v>316</v>
      </c>
      <c r="F944" s="7" t="s">
        <v>3801</v>
      </c>
      <c r="G944" s="17" t="s">
        <v>4130</v>
      </c>
      <c r="H944" s="17" t="s">
        <v>4131</v>
      </c>
      <c r="I944" s="19">
        <v>5.0</v>
      </c>
      <c r="J944" s="5" t="s">
        <v>4187</v>
      </c>
      <c r="K944" s="5"/>
      <c r="L944" s="5"/>
      <c r="M944" s="5"/>
    </row>
    <row r="945" ht="15.75" customHeight="1">
      <c r="A945" s="14">
        <v>46305.0</v>
      </c>
      <c r="B945" s="5" t="s">
        <v>4127</v>
      </c>
      <c r="C945" s="15">
        <v>0.8854166666666666</v>
      </c>
      <c r="D945" s="5" t="s">
        <v>2820</v>
      </c>
      <c r="E945" s="16" t="str">
        <f t="array" ref="E945">_xlfn.XLOOKUP(F945, Filmes!$D$2:$D$344, Filmes!$A$2:$A$344, "")</f>
        <v>317</v>
      </c>
      <c r="F945" s="7" t="s">
        <v>3813</v>
      </c>
      <c r="G945" s="17" t="s">
        <v>4152</v>
      </c>
      <c r="H945" s="17" t="s">
        <v>4153</v>
      </c>
      <c r="I945" s="18"/>
      <c r="J945" s="10" t="s">
        <v>4164</v>
      </c>
      <c r="K945" s="5" t="s">
        <v>65</v>
      </c>
      <c r="L945" s="5" t="s">
        <v>65</v>
      </c>
      <c r="M945" s="5"/>
    </row>
    <row r="946" ht="15.75" customHeight="1">
      <c r="A946" s="14">
        <v>46300.0</v>
      </c>
      <c r="B946" s="5" t="s">
        <v>4132</v>
      </c>
      <c r="C946" s="15">
        <v>0.8020833333333334</v>
      </c>
      <c r="D946" s="5" t="s">
        <v>2820</v>
      </c>
      <c r="E946" s="16" t="str">
        <f t="array" ref="E946">_xlfn.XLOOKUP(F946, Filmes!$D$2:$D$344, Filmes!$A$2:$A$344, "")</f>
        <v>318</v>
      </c>
      <c r="F946" s="7" t="s">
        <v>3823</v>
      </c>
      <c r="G946" s="17" t="s">
        <v>4130</v>
      </c>
      <c r="H946" s="17" t="s">
        <v>4131</v>
      </c>
      <c r="I946" s="19">
        <v>6.0</v>
      </c>
      <c r="J946" s="5"/>
      <c r="K946" s="5"/>
      <c r="L946" s="5" t="s">
        <v>65</v>
      </c>
      <c r="M946" s="5"/>
    </row>
    <row r="947" ht="15.75" customHeight="1">
      <c r="A947" s="14">
        <v>46301.0</v>
      </c>
      <c r="B947" s="5" t="s">
        <v>4121</v>
      </c>
      <c r="C947" s="15">
        <v>0.7604166666666666</v>
      </c>
      <c r="D947" s="5" t="s">
        <v>2820</v>
      </c>
      <c r="E947" s="16" t="str">
        <f t="array" ref="E947">_xlfn.XLOOKUP(F947, Filmes!$D$2:$D$344, Filmes!$A$2:$A$344, "")</f>
        <v>319</v>
      </c>
      <c r="F947" s="7" t="s">
        <v>3834</v>
      </c>
      <c r="G947" s="17" t="s">
        <v>4128</v>
      </c>
      <c r="H947" s="17" t="s">
        <v>4129</v>
      </c>
      <c r="I947" s="19">
        <v>3.0</v>
      </c>
      <c r="J947" s="5"/>
      <c r="K947" s="5"/>
      <c r="L947" s="5" t="s">
        <v>65</v>
      </c>
      <c r="M947" s="5"/>
    </row>
    <row r="948" ht="15.75" customHeight="1">
      <c r="A948" s="14">
        <v>46302.0</v>
      </c>
      <c r="B948" s="5" t="s">
        <v>4143</v>
      </c>
      <c r="C948" s="15">
        <v>0.7916666666666666</v>
      </c>
      <c r="D948" s="5" t="s">
        <v>2820</v>
      </c>
      <c r="E948" s="16" t="str">
        <f t="array" ref="E948">_xlfn.XLOOKUP(F948, Filmes!$D$2:$D$344, Filmes!$A$2:$A$344, "")</f>
        <v>319</v>
      </c>
      <c r="F948" s="7" t="s">
        <v>3834</v>
      </c>
      <c r="G948" s="17" t="s">
        <v>4139</v>
      </c>
      <c r="H948" s="17" t="s">
        <v>4140</v>
      </c>
      <c r="I948" s="19">
        <v>5.0</v>
      </c>
      <c r="J948" s="5"/>
      <c r="K948" s="5"/>
      <c r="L948" s="5"/>
      <c r="M948" s="5" t="s">
        <v>65</v>
      </c>
    </row>
    <row r="949" ht="15.75" customHeight="1">
      <c r="A949" s="14">
        <v>46303.0</v>
      </c>
      <c r="B949" s="5" t="s">
        <v>4124</v>
      </c>
      <c r="C949" s="15">
        <v>0.75</v>
      </c>
      <c r="D949" s="5" t="s">
        <v>2820</v>
      </c>
      <c r="E949" s="16" t="str">
        <f t="array" ref="E949">_xlfn.XLOOKUP(F949, Filmes!$D$2:$D$344, Filmes!$A$2:$A$344, "")</f>
        <v>319</v>
      </c>
      <c r="F949" s="7" t="s">
        <v>3834</v>
      </c>
      <c r="G949" s="17" t="s">
        <v>4133</v>
      </c>
      <c r="H949" s="17" t="s">
        <v>4134</v>
      </c>
      <c r="I949" s="19">
        <v>1.0</v>
      </c>
      <c r="J949" s="5"/>
      <c r="K949" s="5"/>
      <c r="L949" s="5"/>
      <c r="M949" s="5"/>
    </row>
    <row r="950" ht="15.75" customHeight="1">
      <c r="A950" s="14">
        <v>46305.0</v>
      </c>
      <c r="B950" s="5" t="s">
        <v>4127</v>
      </c>
      <c r="C950" s="15">
        <v>0.78125</v>
      </c>
      <c r="D950" s="5" t="s">
        <v>2820</v>
      </c>
      <c r="E950" s="16" t="str">
        <f t="array" ref="E950">_xlfn.XLOOKUP(F950, Filmes!$D$2:$D$344, Filmes!$A$2:$A$344, "")</f>
        <v>320</v>
      </c>
      <c r="F950" s="7" t="s">
        <v>3845</v>
      </c>
      <c r="G950" s="17" t="s">
        <v>4152</v>
      </c>
      <c r="H950" s="17" t="s">
        <v>4153</v>
      </c>
      <c r="I950" s="19"/>
      <c r="J950" s="10"/>
      <c r="K950" s="5" t="s">
        <v>65</v>
      </c>
      <c r="L950" s="5" t="s">
        <v>65</v>
      </c>
      <c r="M950" s="5"/>
    </row>
    <row r="951" ht="15.75" customHeight="1">
      <c r="A951" s="14">
        <v>46306.0</v>
      </c>
      <c r="B951" s="5" t="s">
        <v>4136</v>
      </c>
      <c r="C951" s="15">
        <v>0.7916666666666666</v>
      </c>
      <c r="D951" s="5" t="s">
        <v>2820</v>
      </c>
      <c r="E951" s="16" t="str">
        <f t="array" ref="E951">_xlfn.XLOOKUP(F951, Filmes!$D$2:$D$344, Filmes!$A$2:$A$344, "")</f>
        <v>320</v>
      </c>
      <c r="F951" s="7" t="s">
        <v>3845</v>
      </c>
      <c r="G951" s="17" t="s">
        <v>4139</v>
      </c>
      <c r="H951" s="17" t="s">
        <v>4140</v>
      </c>
      <c r="I951" s="19">
        <v>5.0</v>
      </c>
      <c r="J951" s="5"/>
      <c r="K951" s="5"/>
      <c r="L951" s="5"/>
      <c r="M951" s="5" t="s">
        <v>65</v>
      </c>
    </row>
    <row r="952" ht="15.75" customHeight="1">
      <c r="A952" s="14">
        <v>46300.0</v>
      </c>
      <c r="B952" s="5" t="s">
        <v>4132</v>
      </c>
      <c r="C952" s="15">
        <v>0.875</v>
      </c>
      <c r="D952" s="5" t="s">
        <v>2820</v>
      </c>
      <c r="E952" s="16" t="str">
        <f t="array" ref="E952">_xlfn.XLOOKUP(F952, Filmes!$D$2:$D$344, Filmes!$A$2:$A$344, "")</f>
        <v>321</v>
      </c>
      <c r="F952" s="7" t="s">
        <v>3856</v>
      </c>
      <c r="G952" s="17" t="s">
        <v>4130</v>
      </c>
      <c r="H952" s="17" t="s">
        <v>4131</v>
      </c>
      <c r="I952" s="19">
        <v>4.0</v>
      </c>
      <c r="J952" s="5"/>
      <c r="K952" s="5"/>
      <c r="L952" s="5" t="s">
        <v>65</v>
      </c>
      <c r="M952" s="5"/>
    </row>
    <row r="953" ht="15.75" customHeight="1">
      <c r="A953" s="14">
        <v>46306.0</v>
      </c>
      <c r="B953" s="5" t="s">
        <v>4136</v>
      </c>
      <c r="C953" s="15">
        <v>0.7708333333333334</v>
      </c>
      <c r="D953" s="5" t="s">
        <v>2820</v>
      </c>
      <c r="E953" s="16" t="str">
        <f t="array" ref="E953">_xlfn.XLOOKUP(F953, Filmes!$D$2:$D$344, Filmes!$A$2:$A$344, "")</f>
        <v>321</v>
      </c>
      <c r="F953" s="7" t="s">
        <v>3856</v>
      </c>
      <c r="G953" s="17" t="s">
        <v>4139</v>
      </c>
      <c r="H953" s="17" t="s">
        <v>4140</v>
      </c>
      <c r="I953" s="19">
        <v>3.0</v>
      </c>
      <c r="J953" s="5"/>
      <c r="K953" s="5"/>
      <c r="L953" s="5"/>
      <c r="M953" s="5"/>
    </row>
    <row r="954" ht="15.75" customHeight="1">
      <c r="A954" s="14">
        <v>46309.0</v>
      </c>
      <c r="B954" s="5" t="s">
        <v>4143</v>
      </c>
      <c r="C954" s="15">
        <v>0.8020833333333334</v>
      </c>
      <c r="D954" s="5" t="s">
        <v>2820</v>
      </c>
      <c r="E954" s="16" t="str">
        <f t="array" ref="E954">_xlfn.XLOOKUP(F954, Filmes!$D$2:$D$344, Filmes!$A$2:$A$344, "")</f>
        <v>321</v>
      </c>
      <c r="F954" s="7" t="s">
        <v>3856</v>
      </c>
      <c r="G954" s="17" t="s">
        <v>4128</v>
      </c>
      <c r="H954" s="17" t="s">
        <v>4129</v>
      </c>
      <c r="I954" s="19">
        <v>5.0</v>
      </c>
      <c r="J954" s="5"/>
      <c r="K954" s="5"/>
      <c r="L954" s="5"/>
      <c r="M954" s="5"/>
    </row>
    <row r="955" ht="15.75" customHeight="1">
      <c r="A955" s="14">
        <v>46297.0</v>
      </c>
      <c r="B955" s="5" t="s">
        <v>4135</v>
      </c>
      <c r="C955" s="15">
        <v>0.90625</v>
      </c>
      <c r="D955" s="5" t="s">
        <v>2820</v>
      </c>
      <c r="E955" s="16" t="str">
        <f t="array" ref="E955">_xlfn.XLOOKUP(F955, Filmes!$D$2:$D$344, Filmes!$A$2:$A$344, "")</f>
        <v>322</v>
      </c>
      <c r="F955" s="7" t="s">
        <v>3867</v>
      </c>
      <c r="G955" s="17" t="s">
        <v>4128</v>
      </c>
      <c r="H955" s="17" t="s">
        <v>4129</v>
      </c>
      <c r="I955" s="19">
        <v>4.0</v>
      </c>
      <c r="J955" s="10" t="s">
        <v>4188</v>
      </c>
      <c r="K955" s="5"/>
      <c r="L955" s="5" t="s">
        <v>65</v>
      </c>
      <c r="M955" s="5"/>
    </row>
    <row r="956" ht="15.75" customHeight="1">
      <c r="A956" s="14">
        <v>46297.0</v>
      </c>
      <c r="B956" s="5" t="s">
        <v>4135</v>
      </c>
      <c r="C956" s="15">
        <v>0.90625</v>
      </c>
      <c r="D956" s="5" t="s">
        <v>2820</v>
      </c>
      <c r="E956" s="16" t="str">
        <f t="array" ref="E956">_xlfn.XLOOKUP(F956, Filmes!$D$2:$D$344, Filmes!$A$2:$A$344, "")</f>
        <v>322</v>
      </c>
      <c r="F956" s="7" t="s">
        <v>3867</v>
      </c>
      <c r="G956" s="17" t="s">
        <v>4128</v>
      </c>
      <c r="H956" s="17" t="s">
        <v>4129</v>
      </c>
      <c r="I956" s="19">
        <v>5.0</v>
      </c>
      <c r="J956" s="10" t="s">
        <v>4188</v>
      </c>
      <c r="K956" s="5"/>
      <c r="L956" s="5" t="s">
        <v>65</v>
      </c>
      <c r="M956" s="5"/>
    </row>
    <row r="957" ht="15.75" customHeight="1">
      <c r="A957" s="14">
        <v>46298.0</v>
      </c>
      <c r="B957" s="5" t="s">
        <v>4127</v>
      </c>
      <c r="C957" s="15">
        <v>0.6875</v>
      </c>
      <c r="D957" s="5" t="s">
        <v>2820</v>
      </c>
      <c r="E957" s="16" t="str">
        <f t="array" ref="E957">_xlfn.XLOOKUP(F957, Filmes!$D$2:$D$344, Filmes!$A$2:$A$344, "")</f>
        <v>322</v>
      </c>
      <c r="F957" s="7" t="s">
        <v>3867</v>
      </c>
      <c r="G957" s="17" t="s">
        <v>4122</v>
      </c>
      <c r="H957" s="17" t="s">
        <v>4123</v>
      </c>
      <c r="I957" s="18"/>
      <c r="J957" s="10" t="s">
        <v>4188</v>
      </c>
      <c r="K957" s="5" t="s">
        <v>65</v>
      </c>
      <c r="L957" s="5"/>
      <c r="M957" s="5" t="s">
        <v>65</v>
      </c>
    </row>
    <row r="958" ht="15.75" customHeight="1">
      <c r="A958" s="14">
        <v>46299.0</v>
      </c>
      <c r="B958" s="5" t="s">
        <v>4136</v>
      </c>
      <c r="C958" s="15">
        <v>0.8854166666666666</v>
      </c>
      <c r="D958" s="5" t="s">
        <v>2820</v>
      </c>
      <c r="E958" s="16" t="str">
        <f t="array" ref="E958">_xlfn.XLOOKUP(F958, Filmes!$D$2:$D$344, Filmes!$A$2:$A$344, "")</f>
        <v>322</v>
      </c>
      <c r="F958" s="7" t="s">
        <v>3867</v>
      </c>
      <c r="G958" s="17" t="s">
        <v>4130</v>
      </c>
      <c r="H958" s="17" t="s">
        <v>4131</v>
      </c>
      <c r="I958" s="19">
        <v>5.0</v>
      </c>
      <c r="J958" s="5" t="s">
        <v>4188</v>
      </c>
      <c r="K958" s="5"/>
      <c r="L958" s="5"/>
      <c r="M958" s="5"/>
    </row>
    <row r="959" ht="15.75" customHeight="1">
      <c r="A959" s="14">
        <v>46305.0</v>
      </c>
      <c r="B959" s="5" t="s">
        <v>4127</v>
      </c>
      <c r="C959" s="15">
        <v>0.8854166666666666</v>
      </c>
      <c r="D959" s="5" t="s">
        <v>2820</v>
      </c>
      <c r="E959" s="16" t="str">
        <f t="array" ref="E959">_xlfn.XLOOKUP(F959, Filmes!$D$2:$D$344, Filmes!$A$2:$A$344, "")</f>
        <v>323</v>
      </c>
      <c r="F959" s="7" t="s">
        <v>3878</v>
      </c>
      <c r="G959" s="17" t="s">
        <v>4152</v>
      </c>
      <c r="H959" s="17" t="s">
        <v>4153</v>
      </c>
      <c r="I959" s="18"/>
      <c r="J959" s="10" t="s">
        <v>4164</v>
      </c>
      <c r="K959" s="5" t="s">
        <v>65</v>
      </c>
      <c r="L959" s="5" t="s">
        <v>65</v>
      </c>
      <c r="M959" s="5"/>
    </row>
    <row r="960" ht="15.75" customHeight="1">
      <c r="A960" s="14">
        <v>46304.0</v>
      </c>
      <c r="B960" s="5" t="s">
        <v>4135</v>
      </c>
      <c r="C960" s="15">
        <v>0.7083333333333334</v>
      </c>
      <c r="D960" s="5" t="s">
        <v>2820</v>
      </c>
      <c r="E960" s="16" t="str">
        <f t="array" ref="E960">_xlfn.XLOOKUP(F960, Filmes!$D$2:$D$344, Filmes!$A$2:$A$344, "")</f>
        <v>324</v>
      </c>
      <c r="F960" s="7" t="s">
        <v>3890</v>
      </c>
      <c r="G960" s="17" t="s">
        <v>4128</v>
      </c>
      <c r="H960" s="17" t="s">
        <v>4129</v>
      </c>
      <c r="I960" s="19">
        <v>4.0</v>
      </c>
      <c r="J960" s="10" t="s">
        <v>4189</v>
      </c>
      <c r="K960" s="5"/>
      <c r="L960" s="5" t="s">
        <v>65</v>
      </c>
      <c r="M960" s="5"/>
    </row>
    <row r="961" ht="15.75" customHeight="1">
      <c r="A961" s="14">
        <v>46304.0</v>
      </c>
      <c r="B961" s="5" t="s">
        <v>4135</v>
      </c>
      <c r="C961" s="15">
        <v>0.7083333333333334</v>
      </c>
      <c r="D961" s="5" t="s">
        <v>2820</v>
      </c>
      <c r="E961" s="16" t="str">
        <f t="array" ref="E961">_xlfn.XLOOKUP(F961, Filmes!$D$2:$D$344, Filmes!$A$2:$A$344, "")</f>
        <v>324</v>
      </c>
      <c r="F961" s="7" t="s">
        <v>3890</v>
      </c>
      <c r="G961" s="17" t="s">
        <v>4128</v>
      </c>
      <c r="H961" s="17" t="s">
        <v>4129</v>
      </c>
      <c r="I961" s="19">
        <v>5.0</v>
      </c>
      <c r="J961" s="10" t="s">
        <v>4189</v>
      </c>
      <c r="K961" s="5"/>
      <c r="L961" s="5" t="s">
        <v>65</v>
      </c>
      <c r="M961" s="5"/>
    </row>
    <row r="962" ht="15.75" customHeight="1">
      <c r="A962" s="14">
        <v>46305.0</v>
      </c>
      <c r="B962" s="5" t="s">
        <v>4127</v>
      </c>
      <c r="C962" s="15">
        <v>0.4375</v>
      </c>
      <c r="D962" s="5" t="s">
        <v>2820</v>
      </c>
      <c r="E962" s="16" t="str">
        <f t="array" ref="E962">_xlfn.XLOOKUP(F962, Filmes!$D$2:$D$344, Filmes!$A$2:$A$344, "")</f>
        <v>324</v>
      </c>
      <c r="F962" s="7" t="s">
        <v>3890</v>
      </c>
      <c r="G962" s="17" t="s">
        <v>4122</v>
      </c>
      <c r="H962" s="17" t="s">
        <v>4123</v>
      </c>
      <c r="I962" s="19"/>
      <c r="J962" s="10" t="s">
        <v>4189</v>
      </c>
      <c r="K962" s="5" t="s">
        <v>65</v>
      </c>
      <c r="L962" s="5"/>
      <c r="M962" s="5" t="s">
        <v>65</v>
      </c>
    </row>
    <row r="963" ht="15.75" customHeight="1">
      <c r="A963" s="14">
        <v>46305.0</v>
      </c>
      <c r="B963" s="5" t="s">
        <v>4127</v>
      </c>
      <c r="C963" s="15">
        <v>0.7708333333333334</v>
      </c>
      <c r="D963" s="5" t="s">
        <v>2820</v>
      </c>
      <c r="E963" s="16" t="str">
        <f t="array" ref="E963">_xlfn.XLOOKUP(F963, Filmes!$D$2:$D$344, Filmes!$A$2:$A$344, "")</f>
        <v>324</v>
      </c>
      <c r="F963" s="7" t="s">
        <v>3890</v>
      </c>
      <c r="G963" s="17" t="s">
        <v>4130</v>
      </c>
      <c r="H963" s="17" t="s">
        <v>4131</v>
      </c>
      <c r="I963" s="19">
        <v>2.0</v>
      </c>
      <c r="J963" s="5" t="s">
        <v>4189</v>
      </c>
      <c r="K963" s="5"/>
      <c r="L963" s="5"/>
      <c r="M963" s="5"/>
    </row>
    <row r="964" ht="15.75" customHeight="1">
      <c r="A964" s="14">
        <v>46297.0</v>
      </c>
      <c r="B964" s="5" t="s">
        <v>4135</v>
      </c>
      <c r="C964" s="15">
        <v>0.90625</v>
      </c>
      <c r="D964" s="5" t="s">
        <v>2820</v>
      </c>
      <c r="E964" s="16" t="str">
        <f t="array" ref="E964">_xlfn.XLOOKUP(F964, Filmes!$D$2:$D$344, Filmes!$A$2:$A$344, "")</f>
        <v>325</v>
      </c>
      <c r="F964" s="7" t="s">
        <v>3898</v>
      </c>
      <c r="G964" s="17" t="s">
        <v>4122</v>
      </c>
      <c r="H964" s="17" t="s">
        <v>4123</v>
      </c>
      <c r="I964" s="18"/>
      <c r="J964" s="5"/>
      <c r="K964" s="5"/>
      <c r="L964" s="5" t="s">
        <v>65</v>
      </c>
      <c r="M964" s="5"/>
    </row>
    <row r="965" ht="15.75" customHeight="1">
      <c r="A965" s="14">
        <v>46298.0</v>
      </c>
      <c r="B965" s="5" t="s">
        <v>4127</v>
      </c>
      <c r="C965" s="15">
        <v>0.8854166666666666</v>
      </c>
      <c r="D965" s="5" t="s">
        <v>2820</v>
      </c>
      <c r="E965" s="16" t="str">
        <f t="array" ref="E965">_xlfn.XLOOKUP(F965, Filmes!$D$2:$D$344, Filmes!$A$2:$A$344, "")</f>
        <v>325</v>
      </c>
      <c r="F965" s="7" t="s">
        <v>3898</v>
      </c>
      <c r="G965" s="17" t="s">
        <v>4137</v>
      </c>
      <c r="H965" s="17" t="s">
        <v>4138</v>
      </c>
      <c r="I965" s="19">
        <v>1.0</v>
      </c>
      <c r="J965" s="5"/>
      <c r="K965" s="5"/>
      <c r="L965" s="5"/>
      <c r="M965" s="5"/>
    </row>
    <row r="966" ht="15.75" customHeight="1">
      <c r="A966" s="14">
        <v>46305.0</v>
      </c>
      <c r="B966" s="5" t="s">
        <v>4127</v>
      </c>
      <c r="C966" s="15">
        <v>0.6979166666666666</v>
      </c>
      <c r="D966" s="5" t="s">
        <v>2820</v>
      </c>
      <c r="E966" s="16" t="str">
        <f t="array" ref="E966">_xlfn.XLOOKUP(F966, Filmes!$D$2:$D$344, Filmes!$A$2:$A$344, "")</f>
        <v>326</v>
      </c>
      <c r="F966" s="7" t="s">
        <v>3909</v>
      </c>
      <c r="G966" s="17" t="s">
        <v>4128</v>
      </c>
      <c r="H966" s="17" t="s">
        <v>4129</v>
      </c>
      <c r="I966" s="19">
        <v>1.0</v>
      </c>
      <c r="J966" s="5"/>
      <c r="K966" s="5"/>
      <c r="L966" s="5" t="s">
        <v>65</v>
      </c>
      <c r="M966" s="5"/>
    </row>
    <row r="967" ht="15.75" customHeight="1">
      <c r="A967" s="14">
        <v>46305.0</v>
      </c>
      <c r="B967" s="5" t="s">
        <v>4127</v>
      </c>
      <c r="C967" s="15">
        <v>0.6979166666666666</v>
      </c>
      <c r="D967" s="5" t="s">
        <v>2820</v>
      </c>
      <c r="E967" s="16" t="str">
        <f t="array" ref="E967">_xlfn.XLOOKUP(F967, Filmes!$D$2:$D$344, Filmes!$A$2:$A$344, "")</f>
        <v>326</v>
      </c>
      <c r="F967" s="7" t="s">
        <v>3909</v>
      </c>
      <c r="G967" s="17" t="s">
        <v>4128</v>
      </c>
      <c r="H967" s="17" t="s">
        <v>4129</v>
      </c>
      <c r="I967" s="19">
        <v>2.0</v>
      </c>
      <c r="J967" s="5"/>
      <c r="K967" s="5"/>
      <c r="L967" s="5" t="s">
        <v>65</v>
      </c>
      <c r="M967" s="5"/>
    </row>
    <row r="968" ht="15.75" customHeight="1">
      <c r="A968" s="14">
        <v>46301.0</v>
      </c>
      <c r="B968" s="5" t="s">
        <v>4121</v>
      </c>
      <c r="C968" s="15">
        <v>0.7916666666666666</v>
      </c>
      <c r="D968" s="5" t="s">
        <v>2820</v>
      </c>
      <c r="E968" s="16" t="str">
        <f t="array" ref="E968">_xlfn.XLOOKUP(F968, Filmes!$D$2:$D$344, Filmes!$A$2:$A$344, "")</f>
        <v>327</v>
      </c>
      <c r="F968" s="7" t="s">
        <v>3920</v>
      </c>
      <c r="G968" s="17" t="s">
        <v>4130</v>
      </c>
      <c r="H968" s="17" t="s">
        <v>4131</v>
      </c>
      <c r="I968" s="19">
        <v>4.0</v>
      </c>
      <c r="J968" s="5"/>
      <c r="K968" s="5"/>
      <c r="L968" s="5" t="s">
        <v>65</v>
      </c>
      <c r="M968" s="5"/>
    </row>
    <row r="969" ht="15.75" customHeight="1">
      <c r="A969" s="14">
        <v>46302.0</v>
      </c>
      <c r="B969" s="5" t="s">
        <v>4143</v>
      </c>
      <c r="C969" s="15">
        <v>0.7604166666666666</v>
      </c>
      <c r="D969" s="5" t="s">
        <v>2820</v>
      </c>
      <c r="E969" s="16" t="str">
        <f t="array" ref="E969">_xlfn.XLOOKUP(F969, Filmes!$D$2:$D$344, Filmes!$A$2:$A$344, "")</f>
        <v>327</v>
      </c>
      <c r="F969" s="7" t="s">
        <v>3920</v>
      </c>
      <c r="G969" s="17" t="s">
        <v>4141</v>
      </c>
      <c r="H969" s="17" t="s">
        <v>4142</v>
      </c>
      <c r="I969" s="19"/>
      <c r="J969" s="5"/>
      <c r="K969" s="5"/>
      <c r="L969" s="5"/>
      <c r="M969" s="5"/>
    </row>
    <row r="970" ht="15.75" customHeight="1">
      <c r="A970" s="14">
        <v>46303.0</v>
      </c>
      <c r="B970" s="5" t="s">
        <v>4124</v>
      </c>
      <c r="C970" s="15">
        <v>0.7708333333333334</v>
      </c>
      <c r="D970" s="5" t="s">
        <v>2820</v>
      </c>
      <c r="E970" s="16" t="str">
        <f t="array" ref="E970">_xlfn.XLOOKUP(F970, Filmes!$D$2:$D$344, Filmes!$A$2:$A$344, "")</f>
        <v>327</v>
      </c>
      <c r="F970" s="7" t="s">
        <v>3920</v>
      </c>
      <c r="G970" s="17" t="s">
        <v>4139</v>
      </c>
      <c r="H970" s="17" t="s">
        <v>4140</v>
      </c>
      <c r="I970" s="19">
        <v>3.0</v>
      </c>
      <c r="J970" s="5"/>
      <c r="K970" s="5"/>
      <c r="L970" s="5"/>
      <c r="M970" s="5"/>
    </row>
    <row r="971" ht="15.75" customHeight="1">
      <c r="A971" s="14">
        <v>46302.0</v>
      </c>
      <c r="B971" s="5" t="s">
        <v>4143</v>
      </c>
      <c r="C971" s="15">
        <v>0.8958333333333334</v>
      </c>
      <c r="D971" s="5" t="s">
        <v>2820</v>
      </c>
      <c r="E971" s="16" t="str">
        <f t="array" ref="E971">_xlfn.XLOOKUP(F971, Filmes!$D$2:$D$344, Filmes!$A$2:$A$344, "")</f>
        <v>328</v>
      </c>
      <c r="F971" s="7" t="s">
        <v>3931</v>
      </c>
      <c r="G971" s="17" t="s">
        <v>4128</v>
      </c>
      <c r="H971" s="17" t="s">
        <v>4129</v>
      </c>
      <c r="I971" s="19">
        <v>1.0</v>
      </c>
      <c r="J971" s="10" t="s">
        <v>4190</v>
      </c>
      <c r="K971" s="5"/>
      <c r="L971" s="5" t="s">
        <v>65</v>
      </c>
      <c r="M971" s="5"/>
    </row>
    <row r="972" ht="15.75" customHeight="1">
      <c r="A972" s="14">
        <v>46302.0</v>
      </c>
      <c r="B972" s="5" t="s">
        <v>4143</v>
      </c>
      <c r="C972" s="15">
        <v>0.8958333333333334</v>
      </c>
      <c r="D972" s="5" t="s">
        <v>2820</v>
      </c>
      <c r="E972" s="16" t="str">
        <f t="array" ref="E972">_xlfn.XLOOKUP(F972, Filmes!$D$2:$D$344, Filmes!$A$2:$A$344, "")</f>
        <v>328</v>
      </c>
      <c r="F972" s="7" t="s">
        <v>3931</v>
      </c>
      <c r="G972" s="17" t="s">
        <v>4128</v>
      </c>
      <c r="H972" s="17" t="s">
        <v>4129</v>
      </c>
      <c r="I972" s="19">
        <v>2.0</v>
      </c>
      <c r="J972" s="10" t="s">
        <v>4190</v>
      </c>
      <c r="K972" s="5"/>
      <c r="L972" s="5" t="s">
        <v>65</v>
      </c>
      <c r="M972" s="5"/>
    </row>
    <row r="973" ht="15.75" customHeight="1">
      <c r="A973" s="14">
        <v>46303.0</v>
      </c>
      <c r="B973" s="5" t="s">
        <v>4124</v>
      </c>
      <c r="C973" s="15">
        <v>0.5729166666666666</v>
      </c>
      <c r="D973" s="5" t="s">
        <v>2820</v>
      </c>
      <c r="E973" s="16" t="str">
        <f t="array" ref="E973">_xlfn.XLOOKUP(F973, Filmes!$D$2:$D$344, Filmes!$A$2:$A$344, "")</f>
        <v>328</v>
      </c>
      <c r="F973" s="7" t="s">
        <v>3931</v>
      </c>
      <c r="G973" s="17" t="s">
        <v>4141</v>
      </c>
      <c r="H973" s="17" t="s">
        <v>4142</v>
      </c>
      <c r="I973" s="19"/>
      <c r="J973" s="5" t="s">
        <v>4190</v>
      </c>
      <c r="K973" s="5"/>
      <c r="L973" s="5"/>
      <c r="M973" s="5"/>
    </row>
    <row r="974" ht="15.75" customHeight="1">
      <c r="A974" s="14">
        <v>46304.0</v>
      </c>
      <c r="B974" s="5" t="s">
        <v>4135</v>
      </c>
      <c r="C974" s="15">
        <v>0.5833333333333334</v>
      </c>
      <c r="D974" s="5" t="s">
        <v>2820</v>
      </c>
      <c r="E974" s="16" t="str">
        <f t="array" ref="E974">_xlfn.XLOOKUP(F974, Filmes!$D$2:$D$344, Filmes!$A$2:$A$344, "")</f>
        <v>328</v>
      </c>
      <c r="F974" s="7" t="s">
        <v>3931</v>
      </c>
      <c r="G974" s="17" t="s">
        <v>4139</v>
      </c>
      <c r="H974" s="17" t="s">
        <v>4140</v>
      </c>
      <c r="I974" s="19">
        <v>3.0</v>
      </c>
      <c r="J974" s="5" t="s">
        <v>4190</v>
      </c>
      <c r="K974" s="5"/>
      <c r="L974" s="5"/>
      <c r="M974" s="5"/>
    </row>
    <row r="975" ht="15.75" customHeight="1">
      <c r="A975" s="14">
        <v>46301.0</v>
      </c>
      <c r="B975" s="5" t="s">
        <v>4121</v>
      </c>
      <c r="C975" s="15">
        <v>0.78125</v>
      </c>
      <c r="D975" s="5" t="s">
        <v>2820</v>
      </c>
      <c r="E975" s="16" t="str">
        <f t="array" ref="E975">_xlfn.XLOOKUP(F975, Filmes!$D$2:$D$344, Filmes!$A$2:$A$344, "")</f>
        <v>329</v>
      </c>
      <c r="F975" s="7" t="s">
        <v>3941</v>
      </c>
      <c r="G975" s="17" t="s">
        <v>4128</v>
      </c>
      <c r="H975" s="17" t="s">
        <v>4129</v>
      </c>
      <c r="I975" s="19">
        <v>1.0</v>
      </c>
      <c r="J975" s="5"/>
      <c r="K975" s="5"/>
      <c r="L975" s="5" t="s">
        <v>65</v>
      </c>
      <c r="M975" s="5"/>
    </row>
    <row r="976" ht="15.75" customHeight="1">
      <c r="A976" s="14">
        <v>46301.0</v>
      </c>
      <c r="B976" s="5" t="s">
        <v>4121</v>
      </c>
      <c r="C976" s="15">
        <v>0.78125</v>
      </c>
      <c r="D976" s="5" t="s">
        <v>2820</v>
      </c>
      <c r="E976" s="16" t="str">
        <f t="array" ref="E976">_xlfn.XLOOKUP(F976, Filmes!$D$2:$D$344, Filmes!$A$2:$A$344, "")</f>
        <v>329</v>
      </c>
      <c r="F976" s="7" t="s">
        <v>3941</v>
      </c>
      <c r="G976" s="17" t="s">
        <v>4128</v>
      </c>
      <c r="H976" s="17" t="s">
        <v>4129</v>
      </c>
      <c r="I976" s="19">
        <v>2.0</v>
      </c>
      <c r="J976" s="5"/>
      <c r="K976" s="5"/>
      <c r="L976" s="5" t="s">
        <v>65</v>
      </c>
      <c r="M976" s="5"/>
    </row>
    <row r="977" ht="15.75" customHeight="1">
      <c r="A977" s="14">
        <v>46302.0</v>
      </c>
      <c r="B977" s="5" t="s">
        <v>4143</v>
      </c>
      <c r="C977" s="15">
        <v>0.6770833333333334</v>
      </c>
      <c r="D977" s="5" t="s">
        <v>2820</v>
      </c>
      <c r="E977" s="16" t="str">
        <f t="array" ref="E977">_xlfn.XLOOKUP(F977, Filmes!$D$2:$D$344, Filmes!$A$2:$A$344, "")</f>
        <v>329</v>
      </c>
      <c r="F977" s="7" t="s">
        <v>3941</v>
      </c>
      <c r="G977" s="17" t="s">
        <v>4139</v>
      </c>
      <c r="H977" s="17" t="s">
        <v>4140</v>
      </c>
      <c r="I977" s="19">
        <v>5.0</v>
      </c>
      <c r="J977" s="5"/>
      <c r="K977" s="5"/>
      <c r="L977" s="5"/>
      <c r="M977" s="5" t="s">
        <v>65</v>
      </c>
    </row>
    <row r="978" ht="15.75" customHeight="1">
      <c r="A978" s="14">
        <v>46303.0</v>
      </c>
      <c r="B978" s="5" t="s">
        <v>4124</v>
      </c>
      <c r="C978" s="15">
        <v>0.5729166666666666</v>
      </c>
      <c r="D978" s="5" t="s">
        <v>2820</v>
      </c>
      <c r="E978" s="16" t="str">
        <f t="array" ref="E978">_xlfn.XLOOKUP(F978, Filmes!$D$2:$D$344, Filmes!$A$2:$A$344, "")</f>
        <v>329</v>
      </c>
      <c r="F978" s="7" t="s">
        <v>3941</v>
      </c>
      <c r="G978" s="17" t="s">
        <v>4130</v>
      </c>
      <c r="H978" s="17" t="s">
        <v>4131</v>
      </c>
      <c r="I978" s="19">
        <v>5.0</v>
      </c>
      <c r="J978" s="5"/>
      <c r="K978" s="5"/>
      <c r="L978" s="5"/>
      <c r="M978" s="5"/>
    </row>
    <row r="979" ht="15.75" customHeight="1">
      <c r="A979" s="14">
        <v>46305.0</v>
      </c>
      <c r="B979" s="5" t="s">
        <v>4127</v>
      </c>
      <c r="C979" s="15">
        <v>0.78125</v>
      </c>
      <c r="D979" s="5" t="s">
        <v>2820</v>
      </c>
      <c r="E979" s="16" t="str">
        <f t="array" ref="E979">_xlfn.XLOOKUP(F979, Filmes!$D$2:$D$344, Filmes!$A$2:$A$344, "")</f>
        <v>330</v>
      </c>
      <c r="F979" s="7" t="s">
        <v>3952</v>
      </c>
      <c r="G979" s="17" t="s">
        <v>4152</v>
      </c>
      <c r="H979" s="17" t="s">
        <v>4153</v>
      </c>
      <c r="I979" s="19"/>
      <c r="J979" s="10" t="s">
        <v>4191</v>
      </c>
      <c r="K979" s="5" t="s">
        <v>65</v>
      </c>
      <c r="L979" s="5" t="s">
        <v>65</v>
      </c>
      <c r="M979" s="5"/>
    </row>
    <row r="980" ht="15.75" customHeight="1">
      <c r="A980" s="14">
        <v>46306.0</v>
      </c>
      <c r="B980" s="5" t="s">
        <v>4136</v>
      </c>
      <c r="C980" s="15">
        <v>0.7916666666666666</v>
      </c>
      <c r="D980" s="5" t="s">
        <v>2820</v>
      </c>
      <c r="E980" s="16" t="str">
        <f t="array" ref="E980">_xlfn.XLOOKUP(F980, Filmes!$D$2:$D$344, Filmes!$A$2:$A$344, "")</f>
        <v>330</v>
      </c>
      <c r="F980" s="7" t="s">
        <v>3952</v>
      </c>
      <c r="G980" s="17" t="s">
        <v>4139</v>
      </c>
      <c r="H980" s="17" t="s">
        <v>4140</v>
      </c>
      <c r="I980" s="19">
        <v>5.0</v>
      </c>
      <c r="J980" s="10" t="s">
        <v>4191</v>
      </c>
      <c r="K980" s="5"/>
      <c r="L980" s="5"/>
      <c r="M980" s="5" t="s">
        <v>65</v>
      </c>
    </row>
    <row r="981" ht="15.75" customHeight="1">
      <c r="A981" s="14">
        <v>46301.0</v>
      </c>
      <c r="B981" s="5" t="s">
        <v>4121</v>
      </c>
      <c r="C981" s="15">
        <v>0.78125</v>
      </c>
      <c r="D981" s="5" t="s">
        <v>2820</v>
      </c>
      <c r="E981" s="16" t="str">
        <f t="array" ref="E981">_xlfn.XLOOKUP(F981, Filmes!$D$2:$D$344, Filmes!$A$2:$A$344, "")</f>
        <v>331</v>
      </c>
      <c r="F981" s="7" t="s">
        <v>3963</v>
      </c>
      <c r="G981" s="17" t="s">
        <v>4130</v>
      </c>
      <c r="H981" s="17" t="s">
        <v>4131</v>
      </c>
      <c r="I981" s="19">
        <v>3.0</v>
      </c>
      <c r="J981" s="10" t="s">
        <v>4192</v>
      </c>
      <c r="K981" s="5"/>
      <c r="L981" s="5" t="s">
        <v>65</v>
      </c>
      <c r="M981" s="5"/>
    </row>
    <row r="982" ht="15.75" customHeight="1">
      <c r="A982" s="14">
        <v>46303.0</v>
      </c>
      <c r="B982" s="5" t="s">
        <v>4124</v>
      </c>
      <c r="C982" s="15">
        <v>0.6875</v>
      </c>
      <c r="D982" s="5" t="s">
        <v>2820</v>
      </c>
      <c r="E982" s="16" t="str">
        <f t="array" ref="E982">_xlfn.XLOOKUP(F982, Filmes!$D$2:$D$344, Filmes!$A$2:$A$344, "")</f>
        <v>331</v>
      </c>
      <c r="F982" s="7" t="s">
        <v>3963</v>
      </c>
      <c r="G982" s="17" t="s">
        <v>4139</v>
      </c>
      <c r="H982" s="17" t="s">
        <v>4140</v>
      </c>
      <c r="I982" s="19">
        <v>4.0</v>
      </c>
      <c r="J982" s="5" t="s">
        <v>4192</v>
      </c>
      <c r="K982" s="5"/>
      <c r="L982" s="5"/>
      <c r="M982" s="5"/>
    </row>
    <row r="983" ht="15.75" customHeight="1">
      <c r="A983" s="14">
        <v>46305.0</v>
      </c>
      <c r="B983" s="5" t="s">
        <v>4127</v>
      </c>
      <c r="C983" s="15">
        <v>0.8645833333333334</v>
      </c>
      <c r="D983" s="5" t="s">
        <v>2820</v>
      </c>
      <c r="E983" s="16" t="str">
        <f t="array" ref="E983">_xlfn.XLOOKUP(F983, Filmes!$D$2:$D$344, Filmes!$A$2:$A$344, "")</f>
        <v>331</v>
      </c>
      <c r="F983" s="7" t="s">
        <v>3963</v>
      </c>
      <c r="G983" s="17" t="s">
        <v>4128</v>
      </c>
      <c r="H983" s="17" t="s">
        <v>4129</v>
      </c>
      <c r="I983" s="19">
        <v>3.0</v>
      </c>
      <c r="J983" s="5" t="s">
        <v>4192</v>
      </c>
      <c r="K983" s="5"/>
      <c r="L983" s="5"/>
      <c r="M983" s="5"/>
    </row>
    <row r="984" ht="15.75" customHeight="1">
      <c r="A984" s="14">
        <v>46304.0</v>
      </c>
      <c r="B984" s="5" t="s">
        <v>4135</v>
      </c>
      <c r="C984" s="15">
        <v>0.8958333333333334</v>
      </c>
      <c r="D984" s="5" t="s">
        <v>2820</v>
      </c>
      <c r="E984" s="16" t="str">
        <f t="array" ref="E984">_xlfn.XLOOKUP(F984, Filmes!$D$2:$D$344, Filmes!$A$2:$A$344, "")</f>
        <v>332</v>
      </c>
      <c r="F984" s="7" t="s">
        <v>3973</v>
      </c>
      <c r="G984" s="17" t="s">
        <v>4128</v>
      </c>
      <c r="H984" s="17" t="s">
        <v>4129</v>
      </c>
      <c r="I984" s="19">
        <v>1.0</v>
      </c>
      <c r="J984" s="5"/>
      <c r="K984" s="5"/>
      <c r="L984" s="5" t="s">
        <v>65</v>
      </c>
      <c r="M984" s="5"/>
    </row>
    <row r="985" ht="15.75" customHeight="1">
      <c r="A985" s="14">
        <v>46304.0</v>
      </c>
      <c r="B985" s="5" t="s">
        <v>4135</v>
      </c>
      <c r="C985" s="15">
        <v>0.8958333333333334</v>
      </c>
      <c r="D985" s="5" t="s">
        <v>2820</v>
      </c>
      <c r="E985" s="16" t="str">
        <f t="array" ref="E985">_xlfn.XLOOKUP(F985, Filmes!$D$2:$D$344, Filmes!$A$2:$A$344, "")</f>
        <v>332</v>
      </c>
      <c r="F985" s="7" t="s">
        <v>3973</v>
      </c>
      <c r="G985" s="17" t="s">
        <v>4128</v>
      </c>
      <c r="H985" s="17" t="s">
        <v>4129</v>
      </c>
      <c r="I985" s="19">
        <v>2.0</v>
      </c>
      <c r="J985" s="5"/>
      <c r="K985" s="5"/>
      <c r="L985" s="5" t="s">
        <v>65</v>
      </c>
      <c r="M985" s="5"/>
    </row>
    <row r="986" ht="15.75" customHeight="1">
      <c r="A986" s="14">
        <v>46298.0</v>
      </c>
      <c r="B986" s="5" t="s">
        <v>4127</v>
      </c>
      <c r="C986" s="15">
        <v>0.6875</v>
      </c>
      <c r="D986" s="5" t="s">
        <v>2820</v>
      </c>
      <c r="E986" s="16" t="str">
        <f t="array" ref="E986">_xlfn.XLOOKUP(F986, Filmes!$D$2:$D$344, Filmes!$A$2:$A$344, "")</f>
        <v>333</v>
      </c>
      <c r="F986" s="7" t="s">
        <v>3985</v>
      </c>
      <c r="G986" s="17" t="s">
        <v>4128</v>
      </c>
      <c r="H986" s="17" t="s">
        <v>4129</v>
      </c>
      <c r="I986" s="19">
        <v>1.0</v>
      </c>
      <c r="J986" s="10" t="s">
        <v>4193</v>
      </c>
      <c r="K986" s="5"/>
      <c r="L986" s="5" t="s">
        <v>65</v>
      </c>
      <c r="M986" s="5"/>
    </row>
    <row r="987" ht="15.75" customHeight="1">
      <c r="A987" s="14">
        <v>46298.0</v>
      </c>
      <c r="B987" s="5" t="s">
        <v>4127</v>
      </c>
      <c r="C987" s="15">
        <v>0.6875</v>
      </c>
      <c r="D987" s="5" t="s">
        <v>2820</v>
      </c>
      <c r="E987" s="16" t="str">
        <f t="array" ref="E987">_xlfn.XLOOKUP(F987, Filmes!$D$2:$D$344, Filmes!$A$2:$A$344, "")</f>
        <v>333</v>
      </c>
      <c r="F987" s="7" t="s">
        <v>3985</v>
      </c>
      <c r="G987" s="17" t="s">
        <v>4128</v>
      </c>
      <c r="H987" s="17" t="s">
        <v>4129</v>
      </c>
      <c r="I987" s="19">
        <v>2.0</v>
      </c>
      <c r="J987" s="10" t="s">
        <v>4193</v>
      </c>
      <c r="K987" s="5"/>
      <c r="L987" s="5" t="s">
        <v>65</v>
      </c>
      <c r="M987" s="5"/>
    </row>
    <row r="988" ht="15.75" customHeight="1">
      <c r="A988" s="14">
        <v>46300.0</v>
      </c>
      <c r="B988" s="5" t="s">
        <v>4132</v>
      </c>
      <c r="C988" s="15">
        <v>0.5729166666666666</v>
      </c>
      <c r="D988" s="5" t="s">
        <v>2820</v>
      </c>
      <c r="E988" s="16" t="str">
        <f t="array" ref="E988">_xlfn.XLOOKUP(F988, Filmes!$D$2:$D$344, Filmes!$A$2:$A$344, "")</f>
        <v>333</v>
      </c>
      <c r="F988" s="7" t="s">
        <v>3985</v>
      </c>
      <c r="G988" s="17" t="s">
        <v>4141</v>
      </c>
      <c r="H988" s="17" t="s">
        <v>4142</v>
      </c>
      <c r="I988" s="19"/>
      <c r="J988" s="5" t="s">
        <v>4193</v>
      </c>
      <c r="K988" s="5"/>
      <c r="L988" s="5"/>
      <c r="M988" s="5"/>
    </row>
    <row r="989" ht="15.75" customHeight="1">
      <c r="A989" s="14">
        <v>46301.0</v>
      </c>
      <c r="B989" s="5" t="s">
        <v>4121</v>
      </c>
      <c r="C989" s="15">
        <v>0.5833333333333334</v>
      </c>
      <c r="D989" s="5" t="s">
        <v>2820</v>
      </c>
      <c r="E989" s="16" t="str">
        <f t="array" ref="E989">_xlfn.XLOOKUP(F989, Filmes!$D$2:$D$344, Filmes!$A$2:$A$344, "")</f>
        <v>333</v>
      </c>
      <c r="F989" s="7" t="s">
        <v>3985</v>
      </c>
      <c r="G989" s="17" t="s">
        <v>4139</v>
      </c>
      <c r="H989" s="17" t="s">
        <v>4140</v>
      </c>
      <c r="I989" s="19">
        <v>3.0</v>
      </c>
      <c r="J989" s="5" t="s">
        <v>4193</v>
      </c>
      <c r="K989" s="5"/>
      <c r="L989" s="5"/>
      <c r="M989" s="5"/>
    </row>
    <row r="990" ht="15.75" customHeight="1">
      <c r="A990" s="14">
        <v>46297.0</v>
      </c>
      <c r="B990" s="5" t="s">
        <v>4135</v>
      </c>
      <c r="C990" s="15">
        <v>0.78125</v>
      </c>
      <c r="D990" s="5" t="s">
        <v>2820</v>
      </c>
      <c r="E990" s="16" t="str">
        <f t="array" ref="E990">_xlfn.XLOOKUP(F990, Filmes!$D$2:$D$344, Filmes!$A$2:$A$344, "")</f>
        <v>334</v>
      </c>
      <c r="F990" s="7" t="s">
        <v>3994</v>
      </c>
      <c r="G990" s="17" t="s">
        <v>4128</v>
      </c>
      <c r="H990" s="17" t="s">
        <v>4129</v>
      </c>
      <c r="I990" s="19">
        <v>1.0</v>
      </c>
      <c r="J990" s="5"/>
      <c r="K990" s="5"/>
      <c r="L990" s="5" t="s">
        <v>65</v>
      </c>
      <c r="M990" s="5"/>
    </row>
    <row r="991" ht="15.75" customHeight="1">
      <c r="A991" s="14">
        <v>46297.0</v>
      </c>
      <c r="B991" s="5" t="s">
        <v>4135</v>
      </c>
      <c r="C991" s="15">
        <v>0.78125</v>
      </c>
      <c r="D991" s="5" t="s">
        <v>2820</v>
      </c>
      <c r="E991" s="16" t="str">
        <f t="array" ref="E991">_xlfn.XLOOKUP(F991, Filmes!$D$2:$D$344, Filmes!$A$2:$A$344, "")</f>
        <v>334</v>
      </c>
      <c r="F991" s="7" t="s">
        <v>3994</v>
      </c>
      <c r="G991" s="17" t="s">
        <v>4128</v>
      </c>
      <c r="H991" s="17" t="s">
        <v>4129</v>
      </c>
      <c r="I991" s="19">
        <v>2.0</v>
      </c>
      <c r="J991" s="5"/>
      <c r="K991" s="5"/>
      <c r="L991" s="5" t="s">
        <v>65</v>
      </c>
      <c r="M991" s="5"/>
    </row>
    <row r="992" ht="15.75" customHeight="1">
      <c r="A992" s="14">
        <v>46298.0</v>
      </c>
      <c r="B992" s="5" t="s">
        <v>4127</v>
      </c>
      <c r="C992" s="15">
        <v>0.6770833333333334</v>
      </c>
      <c r="D992" s="5" t="s">
        <v>2820</v>
      </c>
      <c r="E992" s="16" t="str">
        <f t="array" ref="E992">_xlfn.XLOOKUP(F992, Filmes!$D$2:$D$344, Filmes!$A$2:$A$344, "")</f>
        <v>334</v>
      </c>
      <c r="F992" s="7" t="s">
        <v>3994</v>
      </c>
      <c r="G992" s="17" t="s">
        <v>4139</v>
      </c>
      <c r="H992" s="17" t="s">
        <v>4140</v>
      </c>
      <c r="I992" s="19">
        <v>5.0</v>
      </c>
      <c r="J992" s="5"/>
      <c r="K992" s="5"/>
      <c r="L992" s="5"/>
      <c r="M992" s="5" t="s">
        <v>65</v>
      </c>
    </row>
    <row r="993" ht="15.75" customHeight="1">
      <c r="A993" s="14">
        <v>46299.0</v>
      </c>
      <c r="B993" s="5" t="s">
        <v>4136</v>
      </c>
      <c r="C993" s="15">
        <v>0.5729166666666666</v>
      </c>
      <c r="D993" s="5" t="s">
        <v>2820</v>
      </c>
      <c r="E993" s="16" t="str">
        <f t="array" ref="E993">_xlfn.XLOOKUP(F993, Filmes!$D$2:$D$344, Filmes!$A$2:$A$344, "")</f>
        <v>334</v>
      </c>
      <c r="F993" s="7" t="s">
        <v>3994</v>
      </c>
      <c r="G993" s="17" t="s">
        <v>4130</v>
      </c>
      <c r="H993" s="17" t="s">
        <v>4131</v>
      </c>
      <c r="I993" s="19">
        <v>5.0</v>
      </c>
      <c r="J993" s="5"/>
      <c r="K993" s="5"/>
      <c r="L993" s="5"/>
      <c r="M993" s="5"/>
    </row>
    <row r="994" ht="15.75" customHeight="1">
      <c r="A994" s="14">
        <v>46304.0</v>
      </c>
      <c r="B994" s="5" t="s">
        <v>4135</v>
      </c>
      <c r="C994" s="15">
        <v>0.78125</v>
      </c>
      <c r="D994" s="5" t="s">
        <v>2820</v>
      </c>
      <c r="E994" s="16" t="str">
        <f t="array" ref="E994">_xlfn.XLOOKUP(F994, Filmes!$D$2:$D$344, Filmes!$A$2:$A$344, "")</f>
        <v>335</v>
      </c>
      <c r="F994" s="7" t="s">
        <v>4003</v>
      </c>
      <c r="G994" s="17" t="s">
        <v>4128</v>
      </c>
      <c r="H994" s="17" t="s">
        <v>4129</v>
      </c>
      <c r="I994" s="19">
        <v>1.0</v>
      </c>
      <c r="J994" s="10" t="s">
        <v>4194</v>
      </c>
      <c r="K994" s="5"/>
      <c r="L994" s="5" t="s">
        <v>65</v>
      </c>
      <c r="M994" s="5"/>
    </row>
    <row r="995" ht="15.75" customHeight="1">
      <c r="A995" s="14">
        <v>46304.0</v>
      </c>
      <c r="B995" s="5" t="s">
        <v>4135</v>
      </c>
      <c r="C995" s="15">
        <v>0.78125</v>
      </c>
      <c r="D995" s="5" t="s">
        <v>2820</v>
      </c>
      <c r="E995" s="16" t="str">
        <f t="array" ref="E995">_xlfn.XLOOKUP(F995, Filmes!$D$2:$D$344, Filmes!$A$2:$A$344, "")</f>
        <v>335</v>
      </c>
      <c r="F995" s="7" t="s">
        <v>4003</v>
      </c>
      <c r="G995" s="17" t="s">
        <v>4128</v>
      </c>
      <c r="H995" s="17" t="s">
        <v>4129</v>
      </c>
      <c r="I995" s="19">
        <v>2.0</v>
      </c>
      <c r="J995" s="10" t="s">
        <v>4194</v>
      </c>
      <c r="K995" s="5"/>
      <c r="L995" s="5" t="s">
        <v>65</v>
      </c>
      <c r="M995" s="5"/>
    </row>
    <row r="996" ht="15.75" customHeight="1">
      <c r="A996" s="14">
        <v>46305.0</v>
      </c>
      <c r="B996" s="5" t="s">
        <v>4127</v>
      </c>
      <c r="C996" s="15">
        <v>0.6770833333333334</v>
      </c>
      <c r="D996" s="5" t="s">
        <v>2820</v>
      </c>
      <c r="E996" s="16" t="str">
        <f t="array" ref="E996">_xlfn.XLOOKUP(F996, Filmes!$D$2:$D$344, Filmes!$A$2:$A$344, "")</f>
        <v>335</v>
      </c>
      <c r="F996" s="7" t="s">
        <v>4003</v>
      </c>
      <c r="G996" s="17" t="s">
        <v>4139</v>
      </c>
      <c r="H996" s="17" t="s">
        <v>4140</v>
      </c>
      <c r="I996" s="19">
        <v>5.0</v>
      </c>
      <c r="J996" s="10" t="s">
        <v>4194</v>
      </c>
      <c r="K996" s="5"/>
      <c r="L996" s="5"/>
      <c r="M996" s="5" t="s">
        <v>65</v>
      </c>
    </row>
    <row r="997" ht="15.75" customHeight="1">
      <c r="A997" s="14">
        <v>46305.0</v>
      </c>
      <c r="B997" s="5" t="s">
        <v>4127</v>
      </c>
      <c r="C997" s="15">
        <v>0.875</v>
      </c>
      <c r="D997" s="5" t="s">
        <v>2820</v>
      </c>
      <c r="E997" s="16" t="str">
        <f t="array" ref="E997">_xlfn.XLOOKUP(F997, Filmes!$D$2:$D$344, Filmes!$A$2:$A$344, "")</f>
        <v>335</v>
      </c>
      <c r="F997" s="7" t="s">
        <v>4003</v>
      </c>
      <c r="G997" s="17" t="s">
        <v>4130</v>
      </c>
      <c r="H997" s="17" t="s">
        <v>4131</v>
      </c>
      <c r="I997" s="19">
        <v>2.0</v>
      </c>
      <c r="J997" s="5" t="s">
        <v>4194</v>
      </c>
      <c r="K997" s="5"/>
      <c r="L997" s="5"/>
      <c r="M997" s="5"/>
    </row>
    <row r="998" ht="15.75" customHeight="1">
      <c r="A998" s="14">
        <v>46297.0</v>
      </c>
      <c r="B998" s="5" t="s">
        <v>4135</v>
      </c>
      <c r="C998" s="15">
        <v>0.7083333333333334</v>
      </c>
      <c r="D998" s="5" t="s">
        <v>2820</v>
      </c>
      <c r="E998" s="16" t="str">
        <f t="array" ref="E998">_xlfn.XLOOKUP(F998, Filmes!$D$2:$D$344, Filmes!$A$2:$A$344, "")</f>
        <v>336</v>
      </c>
      <c r="F998" s="7" t="s">
        <v>4015</v>
      </c>
      <c r="G998" s="17" t="s">
        <v>4128</v>
      </c>
      <c r="H998" s="17" t="s">
        <v>4129</v>
      </c>
      <c r="I998" s="19">
        <v>4.0</v>
      </c>
      <c r="J998" s="5"/>
      <c r="K998" s="5"/>
      <c r="L998" s="5" t="s">
        <v>65</v>
      </c>
      <c r="M998" s="5"/>
    </row>
    <row r="999" ht="15.75" customHeight="1">
      <c r="A999" s="14">
        <v>46297.0</v>
      </c>
      <c r="B999" s="5" t="s">
        <v>4135</v>
      </c>
      <c r="C999" s="15">
        <v>0.7083333333333334</v>
      </c>
      <c r="D999" s="5" t="s">
        <v>2820</v>
      </c>
      <c r="E999" s="16" t="str">
        <f t="array" ref="E999">_xlfn.XLOOKUP(F999, Filmes!$D$2:$D$344, Filmes!$A$2:$A$344, "")</f>
        <v>336</v>
      </c>
      <c r="F999" s="7" t="s">
        <v>4015</v>
      </c>
      <c r="G999" s="17" t="s">
        <v>4128</v>
      </c>
      <c r="H999" s="17" t="s">
        <v>4129</v>
      </c>
      <c r="I999" s="19">
        <v>5.0</v>
      </c>
      <c r="J999" s="5"/>
      <c r="K999" s="5"/>
      <c r="L999" s="5" t="s">
        <v>65</v>
      </c>
      <c r="M999" s="5"/>
    </row>
    <row r="1000" ht="15.75" customHeight="1">
      <c r="A1000" s="14">
        <v>46298.0</v>
      </c>
      <c r="B1000" s="5" t="s">
        <v>4127</v>
      </c>
      <c r="C1000" s="15">
        <v>0.4375</v>
      </c>
      <c r="D1000" s="5" t="s">
        <v>2820</v>
      </c>
      <c r="E1000" s="16" t="str">
        <f t="array" ref="E1000">_xlfn.XLOOKUP(F1000, Filmes!$D$2:$D$344, Filmes!$A$2:$A$344, "")</f>
        <v>336</v>
      </c>
      <c r="F1000" s="7" t="s">
        <v>4015</v>
      </c>
      <c r="G1000" s="17" t="s">
        <v>4122</v>
      </c>
      <c r="H1000" s="17" t="s">
        <v>4123</v>
      </c>
      <c r="I1000" s="18"/>
      <c r="J1000" s="10"/>
      <c r="K1000" s="5" t="s">
        <v>65</v>
      </c>
      <c r="L1000" s="5"/>
      <c r="M1000" s="5" t="s">
        <v>65</v>
      </c>
    </row>
    <row r="1001" ht="15.75" customHeight="1">
      <c r="A1001" s="14">
        <v>46299.0</v>
      </c>
      <c r="B1001" s="5" t="s">
        <v>4136</v>
      </c>
      <c r="C1001" s="15">
        <v>0.6770833333333334</v>
      </c>
      <c r="D1001" s="5" t="s">
        <v>2820</v>
      </c>
      <c r="E1001" s="16" t="str">
        <f t="array" ref="E1001">_xlfn.XLOOKUP(F1001, Filmes!$D$2:$D$344, Filmes!$A$2:$A$344, "")</f>
        <v>336</v>
      </c>
      <c r="F1001" s="7" t="s">
        <v>4015</v>
      </c>
      <c r="G1001" s="17" t="s">
        <v>4130</v>
      </c>
      <c r="H1001" s="17" t="s">
        <v>4131</v>
      </c>
      <c r="I1001" s="19">
        <v>5.0</v>
      </c>
      <c r="J1001" s="5"/>
      <c r="K1001" s="5"/>
      <c r="L1001" s="5"/>
      <c r="M1001" s="5"/>
    </row>
    <row r="1002" ht="15.75" customHeight="1">
      <c r="A1002" s="14">
        <v>46303.0</v>
      </c>
      <c r="B1002" s="5" t="s">
        <v>4124</v>
      </c>
      <c r="C1002" s="15">
        <v>0.8125</v>
      </c>
      <c r="D1002" s="5" t="s">
        <v>2820</v>
      </c>
      <c r="E1002" s="16" t="str">
        <f t="array" ref="E1002">_xlfn.XLOOKUP(F1002, Filmes!$D$2:$D$344, Filmes!$A$2:$A$344, "")</f>
        <v>337</v>
      </c>
      <c r="F1002" s="7" t="s">
        <v>4029</v>
      </c>
      <c r="G1002" s="17" t="s">
        <v>4130</v>
      </c>
      <c r="H1002" s="17" t="s">
        <v>4131</v>
      </c>
      <c r="I1002" s="19">
        <v>6.0</v>
      </c>
      <c r="J1002" s="5"/>
      <c r="K1002" s="5"/>
      <c r="L1002" s="5" t="s">
        <v>65</v>
      </c>
      <c r="M1002" s="5"/>
    </row>
    <row r="1003" ht="15.75" customHeight="1">
      <c r="A1003" s="14">
        <v>46304.0</v>
      </c>
      <c r="B1003" s="5" t="s">
        <v>4135</v>
      </c>
      <c r="C1003" s="15">
        <v>0.90625</v>
      </c>
      <c r="D1003" s="5" t="s">
        <v>2820</v>
      </c>
      <c r="E1003" s="16" t="str">
        <f t="array" ref="E1003">_xlfn.XLOOKUP(F1003, Filmes!$D$2:$D$344, Filmes!$A$2:$A$344, "")</f>
        <v>338</v>
      </c>
      <c r="F1003" s="7" t="s">
        <v>4042</v>
      </c>
      <c r="G1003" s="17" t="s">
        <v>4128</v>
      </c>
      <c r="H1003" s="17" t="s">
        <v>4129</v>
      </c>
      <c r="I1003" s="19">
        <v>4.0</v>
      </c>
      <c r="J1003" s="5"/>
      <c r="K1003" s="5"/>
      <c r="L1003" s="5" t="s">
        <v>65</v>
      </c>
      <c r="M1003" s="5"/>
    </row>
    <row r="1004" ht="15.75" customHeight="1">
      <c r="A1004" s="14">
        <v>46304.0</v>
      </c>
      <c r="B1004" s="5" t="s">
        <v>4135</v>
      </c>
      <c r="C1004" s="15">
        <v>0.90625</v>
      </c>
      <c r="D1004" s="5" t="s">
        <v>2820</v>
      </c>
      <c r="E1004" s="16" t="str">
        <f t="array" ref="E1004">_xlfn.XLOOKUP(F1004, Filmes!$D$2:$D$344, Filmes!$A$2:$A$344, "")</f>
        <v>338</v>
      </c>
      <c r="F1004" s="7" t="s">
        <v>4042</v>
      </c>
      <c r="G1004" s="17" t="s">
        <v>4128</v>
      </c>
      <c r="H1004" s="17" t="s">
        <v>4129</v>
      </c>
      <c r="I1004" s="19">
        <v>5.0</v>
      </c>
      <c r="J1004" s="5"/>
      <c r="K1004" s="5"/>
      <c r="L1004" s="5" t="s">
        <v>65</v>
      </c>
      <c r="M1004" s="5"/>
    </row>
    <row r="1005" ht="15.75" customHeight="1">
      <c r="A1005" s="14">
        <v>46305.0</v>
      </c>
      <c r="B1005" s="5" t="s">
        <v>4127</v>
      </c>
      <c r="C1005" s="15">
        <v>0.6666666666666666</v>
      </c>
      <c r="D1005" s="5" t="s">
        <v>2820</v>
      </c>
      <c r="E1005" s="16" t="str">
        <f t="array" ref="E1005">_xlfn.XLOOKUP(F1005, Filmes!$D$2:$D$344, Filmes!$A$2:$A$344, "")</f>
        <v>338</v>
      </c>
      <c r="F1005" s="7" t="s">
        <v>4042</v>
      </c>
      <c r="G1005" s="17" t="s">
        <v>4122</v>
      </c>
      <c r="H1005" s="17" t="s">
        <v>4123</v>
      </c>
      <c r="I1005" s="19"/>
      <c r="J1005" s="10"/>
      <c r="K1005" s="5" t="s">
        <v>65</v>
      </c>
      <c r="L1005" s="5"/>
      <c r="M1005" s="5" t="s">
        <v>65</v>
      </c>
    </row>
    <row r="1006" ht="15.75" customHeight="1">
      <c r="A1006" s="14">
        <v>46305.0</v>
      </c>
      <c r="B1006" s="5" t="s">
        <v>4127</v>
      </c>
      <c r="C1006" s="15">
        <v>0.8958333333333334</v>
      </c>
      <c r="D1006" s="5" t="s">
        <v>2820</v>
      </c>
      <c r="E1006" s="16" t="str">
        <f t="array" ref="E1006">_xlfn.XLOOKUP(F1006, Filmes!$D$2:$D$344, Filmes!$A$2:$A$344, "")</f>
        <v>338</v>
      </c>
      <c r="F1006" s="7" t="s">
        <v>4042</v>
      </c>
      <c r="G1006" s="17" t="s">
        <v>4130</v>
      </c>
      <c r="H1006" s="17" t="s">
        <v>4131</v>
      </c>
      <c r="I1006" s="19">
        <v>1.0</v>
      </c>
      <c r="J1006" s="5"/>
      <c r="K1006" s="5"/>
      <c r="L1006" s="5"/>
      <c r="M1006" s="5"/>
    </row>
    <row r="1007" ht="15.75" customHeight="1">
      <c r="A1007" s="14">
        <v>46301.0</v>
      </c>
      <c r="B1007" s="5" t="s">
        <v>4121</v>
      </c>
      <c r="C1007" s="15">
        <v>0.78125</v>
      </c>
      <c r="D1007" s="5" t="s">
        <v>2820</v>
      </c>
      <c r="E1007" s="16" t="str">
        <f t="array" ref="E1007">_xlfn.XLOOKUP(F1007, Filmes!$D$2:$D$344, Filmes!$A$2:$A$344, "")</f>
        <v>339</v>
      </c>
      <c r="F1007" s="7" t="s">
        <v>4052</v>
      </c>
      <c r="G1007" s="17" t="s">
        <v>4152</v>
      </c>
      <c r="H1007" s="17" t="s">
        <v>4153</v>
      </c>
      <c r="I1007" s="19"/>
      <c r="J1007" s="10"/>
      <c r="K1007" s="5" t="s">
        <v>65</v>
      </c>
      <c r="L1007" s="5" t="s">
        <v>65</v>
      </c>
      <c r="M1007" s="5"/>
    </row>
    <row r="1008" ht="15.75" customHeight="1">
      <c r="A1008" s="14">
        <v>46302.0</v>
      </c>
      <c r="B1008" s="5" t="s">
        <v>4143</v>
      </c>
      <c r="C1008" s="15">
        <v>0.75</v>
      </c>
      <c r="D1008" s="5" t="s">
        <v>2820</v>
      </c>
      <c r="E1008" s="16" t="str">
        <f t="array" ref="E1008">_xlfn.XLOOKUP(F1008, Filmes!$D$2:$D$344, Filmes!$A$2:$A$344, "")</f>
        <v>339</v>
      </c>
      <c r="F1008" s="7" t="s">
        <v>4052</v>
      </c>
      <c r="G1008" s="17" t="s">
        <v>4133</v>
      </c>
      <c r="H1008" s="17" t="s">
        <v>4134</v>
      </c>
      <c r="I1008" s="19">
        <v>1.0</v>
      </c>
      <c r="J1008" s="5"/>
      <c r="K1008" s="5"/>
      <c r="L1008" s="5"/>
      <c r="M1008" s="5"/>
    </row>
    <row r="1009" ht="15.75" customHeight="1">
      <c r="A1009" s="14">
        <v>46303.0</v>
      </c>
      <c r="B1009" s="5" t="s">
        <v>4124</v>
      </c>
      <c r="C1009" s="15">
        <v>0.7916666666666666</v>
      </c>
      <c r="D1009" s="5" t="s">
        <v>2820</v>
      </c>
      <c r="E1009" s="16" t="str">
        <f t="array" ref="E1009">_xlfn.XLOOKUP(F1009, Filmes!$D$2:$D$344, Filmes!$A$2:$A$344, "")</f>
        <v>339</v>
      </c>
      <c r="F1009" s="7" t="s">
        <v>4052</v>
      </c>
      <c r="G1009" s="17" t="s">
        <v>4139</v>
      </c>
      <c r="H1009" s="17" t="s">
        <v>4140</v>
      </c>
      <c r="I1009" s="19">
        <v>5.0</v>
      </c>
      <c r="J1009" s="5"/>
      <c r="K1009" s="5"/>
      <c r="L1009" s="5"/>
      <c r="M1009" s="5" t="s">
        <v>65</v>
      </c>
    </row>
    <row r="1010" ht="15.75" customHeight="1">
      <c r="A1010" s="14">
        <v>46301.0</v>
      </c>
      <c r="B1010" s="5" t="s">
        <v>4121</v>
      </c>
      <c r="C1010" s="15">
        <v>0.8645833333333334</v>
      </c>
      <c r="D1010" s="5" t="s">
        <v>2820</v>
      </c>
      <c r="E1010" s="16" t="str">
        <f t="array" ref="E1010">_xlfn.XLOOKUP(F1010, Filmes!$D$2:$D$344, Filmes!$A$2:$A$344, "")</f>
        <v>340</v>
      </c>
      <c r="F1010" s="7" t="s">
        <v>4064</v>
      </c>
      <c r="G1010" s="17" t="s">
        <v>4128</v>
      </c>
      <c r="H1010" s="17" t="s">
        <v>4129</v>
      </c>
      <c r="I1010" s="19">
        <v>3.0</v>
      </c>
      <c r="J1010" s="5"/>
      <c r="K1010" s="5"/>
      <c r="L1010" s="5" t="s">
        <v>65</v>
      </c>
      <c r="M1010" s="5"/>
    </row>
    <row r="1011" ht="15.75" customHeight="1">
      <c r="A1011" s="14">
        <v>46302.0</v>
      </c>
      <c r="B1011" s="5" t="s">
        <v>4143</v>
      </c>
      <c r="C1011" s="15">
        <v>0.6666666666666666</v>
      </c>
      <c r="D1011" s="5" t="s">
        <v>2820</v>
      </c>
      <c r="E1011" s="16" t="str">
        <f t="array" ref="E1011">_xlfn.XLOOKUP(F1011, Filmes!$D$2:$D$344, Filmes!$A$2:$A$344, "")</f>
        <v>340</v>
      </c>
      <c r="F1011" s="7" t="s">
        <v>4064</v>
      </c>
      <c r="G1011" s="17" t="s">
        <v>4141</v>
      </c>
      <c r="H1011" s="17" t="s">
        <v>4142</v>
      </c>
      <c r="I1011" s="19"/>
      <c r="J1011" s="5"/>
      <c r="K1011" s="5"/>
      <c r="L1011" s="5"/>
      <c r="M1011" s="5"/>
    </row>
    <row r="1012" ht="15.75" customHeight="1">
      <c r="A1012" s="14">
        <v>46303.0</v>
      </c>
      <c r="B1012" s="5" t="s">
        <v>4124</v>
      </c>
      <c r="C1012" s="15">
        <v>0.6770833333333334</v>
      </c>
      <c r="D1012" s="5" t="s">
        <v>2820</v>
      </c>
      <c r="E1012" s="16" t="str">
        <f t="array" ref="E1012">_xlfn.XLOOKUP(F1012, Filmes!$D$2:$D$344, Filmes!$A$2:$A$344, "")</f>
        <v>340</v>
      </c>
      <c r="F1012" s="7" t="s">
        <v>4064</v>
      </c>
      <c r="G1012" s="17" t="s">
        <v>4139</v>
      </c>
      <c r="H1012" s="17" t="s">
        <v>4140</v>
      </c>
      <c r="I1012" s="19">
        <v>3.0</v>
      </c>
      <c r="J1012" s="5"/>
      <c r="K1012" s="5"/>
      <c r="L1012" s="5"/>
      <c r="M1012" s="5"/>
    </row>
    <row r="1013" ht="15.75" customHeight="1">
      <c r="A1013" s="14">
        <v>46303.0</v>
      </c>
      <c r="B1013" s="5" t="s">
        <v>4124</v>
      </c>
      <c r="C1013" s="15">
        <v>0.8958333333333334</v>
      </c>
      <c r="D1013" s="5" t="s">
        <v>2820</v>
      </c>
      <c r="E1013" s="16" t="str">
        <f t="array" ref="E1013">_xlfn.XLOOKUP(F1013, Filmes!$D$2:$D$344, Filmes!$A$2:$A$344, "")</f>
        <v>341</v>
      </c>
      <c r="F1013" s="7" t="s">
        <v>4073</v>
      </c>
      <c r="G1013" s="17" t="s">
        <v>4128</v>
      </c>
      <c r="H1013" s="17" t="s">
        <v>4129</v>
      </c>
      <c r="I1013" s="19">
        <v>3.0</v>
      </c>
      <c r="J1013" s="5"/>
      <c r="K1013" s="5"/>
      <c r="L1013" s="5" t="s">
        <v>65</v>
      </c>
      <c r="M1013" s="5"/>
    </row>
    <row r="1014" ht="15.75" customHeight="1">
      <c r="A1014" s="14">
        <v>46304.0</v>
      </c>
      <c r="B1014" s="5" t="s">
        <v>4135</v>
      </c>
      <c r="C1014" s="15">
        <v>0.7916666666666666</v>
      </c>
      <c r="D1014" s="5" t="s">
        <v>2820</v>
      </c>
      <c r="E1014" s="16" t="str">
        <f t="array" ref="E1014">_xlfn.XLOOKUP(F1014, Filmes!$D$2:$D$344, Filmes!$A$2:$A$344, "")</f>
        <v>341</v>
      </c>
      <c r="F1014" s="7" t="s">
        <v>4073</v>
      </c>
      <c r="G1014" s="17" t="s">
        <v>4139</v>
      </c>
      <c r="H1014" s="17" t="s">
        <v>4140</v>
      </c>
      <c r="I1014" s="19">
        <v>5.0</v>
      </c>
      <c r="J1014" s="5"/>
      <c r="K1014" s="5"/>
      <c r="L1014" s="5"/>
      <c r="M1014" s="5" t="s">
        <v>65</v>
      </c>
    </row>
    <row r="1015" ht="15.75" customHeight="1">
      <c r="A1015" s="14">
        <v>46305.0</v>
      </c>
      <c r="B1015" s="5" t="s">
        <v>4127</v>
      </c>
      <c r="C1015" s="15">
        <v>0.75</v>
      </c>
      <c r="D1015" s="5" t="s">
        <v>2820</v>
      </c>
      <c r="E1015" s="16" t="str">
        <f t="array" ref="E1015">_xlfn.XLOOKUP(F1015, Filmes!$D$2:$D$344, Filmes!$A$2:$A$344, "")</f>
        <v>341</v>
      </c>
      <c r="F1015" s="7" t="s">
        <v>4073</v>
      </c>
      <c r="G1015" s="17" t="s">
        <v>4133</v>
      </c>
      <c r="H1015" s="17" t="s">
        <v>4134</v>
      </c>
      <c r="I1015" s="19">
        <v>1.0</v>
      </c>
      <c r="J1015" s="5"/>
      <c r="K1015" s="5"/>
      <c r="L1015" s="5"/>
      <c r="M1015" s="5"/>
    </row>
    <row r="1016" ht="15.75" customHeight="1">
      <c r="A1016" s="14">
        <v>46299.0</v>
      </c>
      <c r="B1016" s="5" t="s">
        <v>4136</v>
      </c>
      <c r="C1016" s="15">
        <v>0.78125</v>
      </c>
      <c r="D1016" s="5" t="s">
        <v>4083</v>
      </c>
      <c r="E1016" s="16" t="str">
        <f t="array" ref="E1016">_xlfn.XLOOKUP(F1016, Filmes!$D$2:$D$344, Filmes!$A$2:$A$344, "")</f>
        <v>342</v>
      </c>
      <c r="F1016" s="7" t="s">
        <v>4085</v>
      </c>
      <c r="G1016" s="17" t="s">
        <v>4130</v>
      </c>
      <c r="H1016" s="17" t="s">
        <v>4131</v>
      </c>
      <c r="I1016" s="19">
        <v>6.0</v>
      </c>
      <c r="J1016" s="5"/>
      <c r="K1016" s="5"/>
      <c r="L1016" s="5"/>
      <c r="M1016" s="5"/>
    </row>
    <row r="1017" ht="15.75" customHeight="1">
      <c r="A1017" s="14">
        <v>46300.0</v>
      </c>
      <c r="B1017" s="5" t="s">
        <v>4132</v>
      </c>
      <c r="C1017" s="15">
        <v>0.78125</v>
      </c>
      <c r="D1017" s="5" t="s">
        <v>4083</v>
      </c>
      <c r="E1017" s="16" t="str">
        <f t="array" ref="E1017">_xlfn.XLOOKUP(F1017, Filmes!$D$2:$D$344, Filmes!$A$2:$A$344, "")</f>
        <v>342</v>
      </c>
      <c r="F1017" s="7" t="s">
        <v>4085</v>
      </c>
      <c r="G1017" s="17" t="s">
        <v>4122</v>
      </c>
      <c r="H1017" s="17" t="s">
        <v>4123</v>
      </c>
      <c r="I1017" s="18"/>
      <c r="J1017" s="5" t="s">
        <v>4144</v>
      </c>
      <c r="K1017" s="5"/>
      <c r="L1017" s="5"/>
      <c r="M1017" s="5"/>
    </row>
    <row r="1018" ht="15.75" customHeight="1">
      <c r="A1018" s="14">
        <v>46305.0</v>
      </c>
      <c r="B1018" s="5" t="s">
        <v>4127</v>
      </c>
      <c r="C1018" s="15">
        <v>0.90625</v>
      </c>
      <c r="D1018" s="5" t="s">
        <v>4099</v>
      </c>
      <c r="E1018" s="16" t="str">
        <f t="array" ref="E1018">_xlfn.XLOOKUP(F1018, Filmes!$D$2:$D$344, Filmes!$A$2:$A$344, "")</f>
        <v>343</v>
      </c>
      <c r="F1018" s="7" t="s">
        <v>4101</v>
      </c>
      <c r="G1018" s="17" t="s">
        <v>4122</v>
      </c>
      <c r="H1018" s="17" t="s">
        <v>4123</v>
      </c>
      <c r="I1018" s="18"/>
      <c r="J1018" s="5" t="s">
        <v>4144</v>
      </c>
      <c r="K1018" s="5"/>
      <c r="L1018" s="5"/>
      <c r="M1018" s="5"/>
    </row>
    <row r="1019" ht="15.75" customHeight="1">
      <c r="A1019" s="14">
        <v>46306.0</v>
      </c>
      <c r="B1019" s="5" t="s">
        <v>4136</v>
      </c>
      <c r="C1019" s="15">
        <v>0.6145833333333334</v>
      </c>
      <c r="D1019" s="5" t="s">
        <v>4099</v>
      </c>
      <c r="E1019" s="16" t="str">
        <f t="array" ref="E1019">_xlfn.XLOOKUP(F1019, Filmes!$D$2:$D$344, Filmes!$A$2:$A$344, "")</f>
        <v>343</v>
      </c>
      <c r="F1019" s="7" t="s">
        <v>4101</v>
      </c>
      <c r="G1019" s="17" t="s">
        <v>4128</v>
      </c>
      <c r="H1019" s="17" t="s">
        <v>4129</v>
      </c>
      <c r="I1019" s="19">
        <v>5.0</v>
      </c>
      <c r="J1019" s="5"/>
      <c r="K1019" s="5"/>
      <c r="L1019" s="5"/>
      <c r="M1019" s="5"/>
    </row>
    <row r="1020" ht="15.75" customHeight="1">
      <c r="A1020" s="14">
        <v>46306.0</v>
      </c>
      <c r="B1020" s="5" t="s">
        <v>4136</v>
      </c>
      <c r="C1020" s="15">
        <v>0.78125</v>
      </c>
      <c r="D1020" s="5" t="s">
        <v>4099</v>
      </c>
      <c r="E1020" s="16" t="str">
        <f t="array" ref="E1020">_xlfn.XLOOKUP(F1020, Filmes!$D$2:$D$344, Filmes!$A$2:$A$344, "")</f>
        <v>343</v>
      </c>
      <c r="F1020" s="7" t="s">
        <v>4101</v>
      </c>
      <c r="G1020" s="17" t="s">
        <v>4130</v>
      </c>
      <c r="H1020" s="17" t="s">
        <v>4131</v>
      </c>
      <c r="I1020" s="19">
        <v>6.0</v>
      </c>
      <c r="J1020" s="5" t="s">
        <v>4144</v>
      </c>
      <c r="K1020" s="5"/>
      <c r="L1020" s="5"/>
      <c r="M1020" s="5"/>
    </row>
  </sheetData>
  <conditionalFormatting sqref="A2:M1020">
    <cfRule type="expression" dxfId="0" priority="1">
      <formula>A2&gt;DATE(2026,10,11)</formula>
    </cfRule>
  </conditionalFormatting>
  <printOptions/>
  <pageMargins bottom="0.75" footer="0.0" header="0.0" left="0.7" right="0.7" top="0.75"/>
  <pageSetup orientation="landscape"/>
  <drawing r:id="rId1"/>
</worksheet>
</file>